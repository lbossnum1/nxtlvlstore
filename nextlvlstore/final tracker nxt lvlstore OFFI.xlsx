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pc\Desktop\nextlvlstore\"/>
    </mc:Choice>
  </mc:AlternateContent>
  <xr:revisionPtr revIDLastSave="0" documentId="13_ncr:1_{7AEA4194-43EF-431B-ADA3-6211E8841240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Client Subscriptions" sheetId="1" r:id="rId1"/>
    <sheet name="Dashboard" sheetId="2" r:id="rId2"/>
    <sheet name="Product Analytics" sheetId="3" r:id="rId3"/>
    <sheet name="Monthly Reven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03" i="1" l="1"/>
  <c r="E303" i="1"/>
  <c r="F303" i="1" s="1"/>
  <c r="I302" i="1"/>
  <c r="E302" i="1"/>
  <c r="F302" i="1" s="1"/>
  <c r="I301" i="1"/>
  <c r="E301" i="1"/>
  <c r="F301" i="1" s="1"/>
  <c r="I300" i="1"/>
  <c r="E300" i="1"/>
  <c r="F300" i="1" s="1"/>
  <c r="I299" i="1"/>
  <c r="E299" i="1"/>
  <c r="F299" i="1" s="1"/>
  <c r="I298" i="1"/>
  <c r="F298" i="1"/>
  <c r="E298" i="1"/>
  <c r="I297" i="1"/>
  <c r="F297" i="1"/>
  <c r="E297" i="1"/>
  <c r="I296" i="1"/>
  <c r="E296" i="1"/>
  <c r="F296" i="1" s="1"/>
  <c r="I295" i="1"/>
  <c r="E295" i="1"/>
  <c r="F295" i="1" s="1"/>
  <c r="I294" i="1"/>
  <c r="E294" i="1"/>
  <c r="F294" i="1" s="1"/>
  <c r="I292" i="1"/>
  <c r="E292" i="1"/>
  <c r="F292" i="1" s="1"/>
  <c r="I293" i="1"/>
  <c r="E293" i="1"/>
  <c r="F293" i="1" s="1"/>
  <c r="I291" i="1"/>
  <c r="E291" i="1"/>
  <c r="F291" i="1" s="1"/>
  <c r="I290" i="1"/>
  <c r="E290" i="1"/>
  <c r="F290" i="1" s="1"/>
  <c r="I286" i="1"/>
  <c r="E286" i="1"/>
  <c r="F286" i="1" s="1"/>
  <c r="I285" i="1"/>
  <c r="E285" i="1"/>
  <c r="F285" i="1" s="1"/>
  <c r="I284" i="1"/>
  <c r="F284" i="1"/>
  <c r="E284" i="1"/>
  <c r="I283" i="1"/>
  <c r="F283" i="1"/>
  <c r="E283" i="1"/>
  <c r="I282" i="1"/>
  <c r="E282" i="1"/>
  <c r="F282" i="1" s="1"/>
  <c r="I281" i="1"/>
  <c r="F281" i="1"/>
  <c r="E281" i="1"/>
  <c r="I280" i="1"/>
  <c r="E280" i="1"/>
  <c r="F280" i="1" s="1"/>
  <c r="I278" i="1"/>
  <c r="E278" i="1"/>
  <c r="F278" i="1" s="1"/>
  <c r="I277" i="1"/>
  <c r="E277" i="1"/>
  <c r="F277" i="1" s="1"/>
  <c r="I276" i="1"/>
  <c r="E276" i="1"/>
  <c r="F276" i="1" s="1"/>
  <c r="I275" i="1"/>
  <c r="E275" i="1"/>
  <c r="F275" i="1" s="1"/>
  <c r="I274" i="1"/>
  <c r="E274" i="1"/>
  <c r="F274" i="1" s="1"/>
  <c r="I273" i="1"/>
  <c r="E273" i="1"/>
  <c r="F273" i="1" s="1"/>
  <c r="I271" i="1"/>
  <c r="E271" i="1"/>
  <c r="F271" i="1" s="1"/>
  <c r="I270" i="1"/>
  <c r="E270" i="1"/>
  <c r="F270" i="1" s="1"/>
  <c r="I269" i="1"/>
  <c r="E269" i="1"/>
  <c r="F269" i="1" s="1"/>
  <c r="I268" i="1"/>
  <c r="E268" i="1"/>
  <c r="F268" i="1" s="1"/>
  <c r="I267" i="1"/>
  <c r="E267" i="1"/>
  <c r="F267" i="1" s="1"/>
  <c r="I266" i="1" l="1"/>
  <c r="E266" i="1"/>
  <c r="F266" i="1" s="1"/>
  <c r="I265" i="1"/>
  <c r="E265" i="1"/>
  <c r="F265" i="1" s="1"/>
  <c r="I264" i="1"/>
  <c r="E264" i="1"/>
  <c r="F264" i="1" s="1"/>
  <c r="I263" i="1"/>
  <c r="E263" i="1"/>
  <c r="F263" i="1" s="1"/>
  <c r="I262" i="1"/>
  <c r="E262" i="1"/>
  <c r="F262" i="1" s="1"/>
  <c r="I261" i="1"/>
  <c r="E261" i="1"/>
  <c r="F261" i="1" s="1"/>
  <c r="I260" i="1"/>
  <c r="E260" i="1"/>
  <c r="F260" i="1" s="1"/>
  <c r="I259" i="1"/>
  <c r="E259" i="1"/>
  <c r="F259" i="1" s="1"/>
  <c r="I258" i="1"/>
  <c r="E258" i="1"/>
  <c r="F258" i="1" s="1"/>
  <c r="I257" i="1"/>
  <c r="E257" i="1"/>
  <c r="F257" i="1" s="1"/>
  <c r="I256" i="1"/>
  <c r="E256" i="1"/>
  <c r="F256" i="1" s="1"/>
  <c r="I255" i="1"/>
  <c r="E255" i="1"/>
  <c r="F255" i="1" s="1"/>
  <c r="I254" i="1"/>
  <c r="E254" i="1"/>
  <c r="F254" i="1" s="1"/>
  <c r="I253" i="1"/>
  <c r="E253" i="1"/>
  <c r="F253" i="1" s="1"/>
  <c r="I252" i="1"/>
  <c r="E252" i="1"/>
  <c r="F252" i="1" s="1"/>
  <c r="I251" i="1"/>
  <c r="E251" i="1"/>
  <c r="F251" i="1" s="1"/>
  <c r="I250" i="1"/>
  <c r="E250" i="1"/>
  <c r="F250" i="1" s="1"/>
  <c r="I249" i="1"/>
  <c r="E249" i="1"/>
  <c r="F249" i="1" s="1"/>
  <c r="I248" i="1"/>
  <c r="E248" i="1"/>
  <c r="F248" i="1" s="1"/>
  <c r="I247" i="1"/>
  <c r="F247" i="1"/>
  <c r="E247" i="1"/>
  <c r="I246" i="1"/>
  <c r="E246" i="1"/>
  <c r="F246" i="1" s="1"/>
  <c r="I245" i="1"/>
  <c r="E245" i="1"/>
  <c r="F245" i="1" s="1"/>
  <c r="I244" i="1"/>
  <c r="E244" i="1"/>
  <c r="F244" i="1" s="1"/>
  <c r="I243" i="1"/>
  <c r="E243" i="1"/>
  <c r="F243" i="1" s="1"/>
  <c r="I242" i="1"/>
  <c r="E242" i="1"/>
  <c r="F242" i="1" s="1"/>
  <c r="I241" i="1"/>
  <c r="E241" i="1"/>
  <c r="F241" i="1" s="1"/>
  <c r="I240" i="1"/>
  <c r="E240" i="1"/>
  <c r="F240" i="1" s="1"/>
  <c r="I239" i="1"/>
  <c r="E239" i="1"/>
  <c r="F239" i="1" s="1"/>
  <c r="I238" i="1"/>
  <c r="E238" i="1"/>
  <c r="F238" i="1" s="1"/>
  <c r="I237" i="1"/>
  <c r="E237" i="1"/>
  <c r="F237" i="1" s="1"/>
  <c r="I234" i="1"/>
  <c r="E234" i="1"/>
  <c r="F234" i="1" s="1"/>
  <c r="I235" i="1"/>
  <c r="F235" i="1"/>
  <c r="E235" i="1"/>
  <c r="I236" i="1"/>
  <c r="E236" i="1"/>
  <c r="F236" i="1" s="1"/>
  <c r="I233" i="1"/>
  <c r="F233" i="1"/>
  <c r="E233" i="1"/>
  <c r="I229" i="1"/>
  <c r="E229" i="1"/>
  <c r="I231" i="1"/>
  <c r="E231" i="1"/>
  <c r="I230" i="1"/>
  <c r="E230" i="1"/>
  <c r="I228" i="1"/>
  <c r="E228" i="1"/>
  <c r="I227" i="1"/>
  <c r="E227" i="1"/>
  <c r="I224" i="1"/>
  <c r="E224" i="1"/>
  <c r="F224" i="1" s="1"/>
  <c r="I226" i="1"/>
  <c r="E226" i="1"/>
  <c r="I225" i="1"/>
  <c r="E225" i="1"/>
  <c r="I223" i="1"/>
  <c r="E223" i="1"/>
  <c r="I222" i="1"/>
  <c r="E222" i="1"/>
  <c r="I221" i="1"/>
  <c r="E221" i="1"/>
  <c r="I220" i="1"/>
  <c r="E220" i="1"/>
  <c r="I219" i="1"/>
  <c r="E219" i="1"/>
  <c r="I218" i="1"/>
  <c r="E218" i="1"/>
  <c r="F218" i="1" s="1"/>
  <c r="I217" i="1"/>
  <c r="E217" i="1"/>
  <c r="F217" i="1" s="1"/>
  <c r="I216" i="1"/>
  <c r="E216" i="1"/>
  <c r="F216" i="1" s="1"/>
  <c r="I215" i="1"/>
  <c r="E215" i="1"/>
  <c r="F215" i="1" s="1"/>
  <c r="I214" i="1"/>
  <c r="E214" i="1"/>
  <c r="F214" i="1" s="1"/>
  <c r="I213" i="1"/>
  <c r="E213" i="1"/>
  <c r="F213" i="1" s="1"/>
  <c r="I212" i="1"/>
  <c r="E212" i="1"/>
  <c r="F212" i="1" s="1"/>
  <c r="I209" i="1"/>
  <c r="E209" i="1"/>
  <c r="F209" i="1" s="1"/>
  <c r="I211" i="1"/>
  <c r="E211" i="1"/>
  <c r="F211" i="1" s="1"/>
  <c r="I208" i="1"/>
  <c r="E208" i="1"/>
  <c r="F208" i="1" s="1"/>
  <c r="I207" i="1"/>
  <c r="E207" i="1"/>
  <c r="F207" i="1" s="1"/>
  <c r="I206" i="1"/>
  <c r="E206" i="1"/>
  <c r="F206" i="1" s="1"/>
  <c r="I205" i="1"/>
  <c r="E205" i="1"/>
  <c r="F205" i="1" s="1"/>
  <c r="I204" i="1"/>
  <c r="E204" i="1"/>
  <c r="F204" i="1" s="1"/>
  <c r="I203" i="1"/>
  <c r="F203" i="1"/>
  <c r="E203" i="1"/>
  <c r="I202" i="1"/>
  <c r="E202" i="1"/>
  <c r="F202" i="1" s="1"/>
  <c r="I201" i="1"/>
  <c r="E201" i="1"/>
  <c r="F201" i="1" s="1"/>
  <c r="I200" i="1"/>
  <c r="E200" i="1"/>
  <c r="F200" i="1" s="1"/>
  <c r="I199" i="1"/>
  <c r="E199" i="1"/>
  <c r="F199" i="1" s="1"/>
  <c r="I198" i="1"/>
  <c r="E198" i="1"/>
  <c r="F198" i="1" s="1"/>
  <c r="I197" i="1"/>
  <c r="E197" i="1"/>
  <c r="F197" i="1" s="1"/>
  <c r="I196" i="1"/>
  <c r="F196" i="1"/>
  <c r="E196" i="1"/>
  <c r="I195" i="1"/>
  <c r="F195" i="1"/>
  <c r="E195" i="1"/>
  <c r="I194" i="1"/>
  <c r="E194" i="1"/>
  <c r="I192" i="1"/>
  <c r="E192" i="1"/>
  <c r="F192" i="1" s="1"/>
  <c r="I193" i="1"/>
  <c r="F193" i="1"/>
  <c r="E193" i="1"/>
  <c r="I191" i="1"/>
  <c r="E191" i="1"/>
  <c r="F191" i="1" s="1"/>
  <c r="I190" i="1"/>
  <c r="E190" i="1"/>
  <c r="F190" i="1" s="1"/>
  <c r="I189" i="1"/>
  <c r="E189" i="1"/>
  <c r="F189" i="1" s="1"/>
  <c r="I188" i="1"/>
  <c r="F188" i="1"/>
  <c r="E188" i="1"/>
  <c r="I187" i="1"/>
  <c r="F187" i="1"/>
  <c r="E187" i="1"/>
  <c r="I186" i="1"/>
  <c r="E186" i="1"/>
  <c r="F186" i="1" s="1"/>
  <c r="I185" i="1"/>
  <c r="E185" i="1"/>
  <c r="F185" i="1" s="1"/>
  <c r="I182" i="1"/>
  <c r="F182" i="1"/>
  <c r="E182" i="1"/>
  <c r="I181" i="1"/>
  <c r="E181" i="1"/>
  <c r="F181" i="1" s="1"/>
  <c r="I180" i="1"/>
  <c r="E180" i="1"/>
  <c r="F180" i="1" s="1"/>
  <c r="I179" i="1"/>
  <c r="E179" i="1"/>
  <c r="F179" i="1" s="1"/>
  <c r="I178" i="1"/>
  <c r="E178" i="1"/>
  <c r="F178" i="1" s="1"/>
  <c r="I177" i="1"/>
  <c r="E177" i="1"/>
  <c r="F177" i="1" s="1"/>
  <c r="I176" i="1"/>
  <c r="E176" i="1"/>
  <c r="F176" i="1" s="1"/>
  <c r="I175" i="1"/>
  <c r="E175" i="1"/>
  <c r="F175" i="1" s="1"/>
  <c r="I174" i="1"/>
  <c r="E174" i="1"/>
  <c r="F174" i="1" s="1"/>
  <c r="I173" i="1"/>
  <c r="E173" i="1"/>
  <c r="F173" i="1" s="1"/>
  <c r="I171" i="1"/>
  <c r="E171" i="1"/>
  <c r="F171" i="1" s="1"/>
  <c r="I170" i="1"/>
  <c r="E170" i="1"/>
  <c r="F170" i="1" s="1"/>
  <c r="I169" i="1"/>
  <c r="E169" i="1"/>
  <c r="F169" i="1" s="1"/>
  <c r="I166" i="1"/>
  <c r="E166" i="1"/>
  <c r="F166" i="1" s="1"/>
  <c r="I165" i="1"/>
  <c r="F165" i="1"/>
  <c r="E165" i="1"/>
  <c r="I164" i="1"/>
  <c r="E164" i="1"/>
  <c r="F164" i="1" s="1"/>
  <c r="E163" i="1"/>
  <c r="F163" i="1" s="1"/>
  <c r="I163" i="1"/>
  <c r="I162" i="1"/>
  <c r="E162" i="1"/>
  <c r="F162" i="1" s="1"/>
  <c r="I161" i="1"/>
  <c r="E161" i="1"/>
  <c r="F161" i="1" s="1"/>
  <c r="I160" i="1"/>
  <c r="E160" i="1"/>
  <c r="F160" i="1" s="1"/>
  <c r="I159" i="1"/>
  <c r="E159" i="1"/>
  <c r="F159" i="1" s="1"/>
  <c r="I158" i="1"/>
  <c r="E158" i="1"/>
  <c r="F158" i="1" s="1"/>
  <c r="I157" i="1"/>
  <c r="E157" i="1"/>
  <c r="F157" i="1" s="1"/>
  <c r="I156" i="1"/>
  <c r="E156" i="1"/>
  <c r="F156" i="1" s="1"/>
  <c r="I155" i="1"/>
  <c r="E155" i="1"/>
  <c r="F155" i="1" s="1"/>
  <c r="I153" i="1" l="1"/>
  <c r="E153" i="1"/>
  <c r="F153" i="1" s="1"/>
  <c r="I152" i="1"/>
  <c r="E152" i="1"/>
  <c r="F152" i="1" s="1"/>
  <c r="I151" i="1"/>
  <c r="E151" i="1"/>
  <c r="F151" i="1" s="1"/>
  <c r="I150" i="1"/>
  <c r="E150" i="1"/>
  <c r="F150" i="1" s="1"/>
  <c r="I149" i="1"/>
  <c r="E149" i="1"/>
  <c r="F149" i="1" s="1"/>
  <c r="I148" i="1"/>
  <c r="E148" i="1"/>
  <c r="F148" i="1" s="1"/>
  <c r="I147" i="1"/>
  <c r="E147" i="1"/>
  <c r="F147" i="1" s="1"/>
  <c r="E145" i="1"/>
  <c r="F145" i="1" s="1"/>
  <c r="I145" i="1"/>
  <c r="I146" i="1"/>
  <c r="E146" i="1"/>
  <c r="F146" i="1" s="1"/>
  <c r="K108" i="1"/>
  <c r="I108" i="1"/>
  <c r="E108" i="1"/>
  <c r="F108" i="1" s="1"/>
  <c r="K118" i="1"/>
  <c r="K117" i="1"/>
  <c r="K116" i="1"/>
  <c r="K115" i="1"/>
  <c r="K114" i="1"/>
  <c r="K113" i="1"/>
  <c r="K112" i="1"/>
  <c r="K111" i="1"/>
  <c r="K110" i="1"/>
  <c r="K109" i="1" l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 l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 l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D39" i="1"/>
  <c r="E39" i="1" s="1"/>
  <c r="F39" i="1" s="1"/>
  <c r="D38" i="1"/>
  <c r="E38" i="1" s="1"/>
  <c r="F38" i="1" s="1"/>
  <c r="D37" i="1"/>
  <c r="E37" i="1" s="1"/>
  <c r="F37" i="1" s="1"/>
  <c r="D36" i="1"/>
  <c r="E36" i="1" s="1"/>
  <c r="F36" i="1" s="1"/>
  <c r="D35" i="1"/>
  <c r="E35" i="1" s="1"/>
  <c r="F35" i="1" s="1"/>
  <c r="D34" i="1"/>
  <c r="E34" i="1" s="1"/>
  <c r="F34" i="1" s="1"/>
  <c r="D33" i="1"/>
  <c r="E33" i="1" s="1"/>
  <c r="F33" i="1" s="1"/>
  <c r="E32" i="1"/>
  <c r="F32" i="1" s="1"/>
  <c r="E31" i="1"/>
  <c r="F31" i="1" s="1"/>
  <c r="E28" i="1"/>
  <c r="F28" i="1" s="1"/>
  <c r="E24" i="1"/>
  <c r="F24" i="1" s="1"/>
  <c r="E23" i="1"/>
  <c r="F23" i="1" s="1"/>
  <c r="E22" i="1"/>
  <c r="F22" i="1" s="1"/>
  <c r="E20" i="1"/>
  <c r="F20" i="1" s="1"/>
  <c r="E16" i="1"/>
  <c r="F16" i="1" s="1"/>
  <c r="D15" i="1"/>
  <c r="E15" i="1" s="1"/>
  <c r="F15" i="1" s="1"/>
  <c r="C8" i="3"/>
  <c r="B8" i="3"/>
  <c r="B7" i="3"/>
  <c r="B6" i="3"/>
  <c r="B5" i="3"/>
  <c r="B4" i="3"/>
  <c r="B3" i="3"/>
  <c r="B2" i="3"/>
  <c r="B6" i="2"/>
  <c r="B1" i="2"/>
  <c r="I1000" i="1"/>
  <c r="E1000" i="1"/>
  <c r="F1000" i="1" s="1"/>
  <c r="I999" i="1"/>
  <c r="F999" i="1"/>
  <c r="E999" i="1"/>
  <c r="I998" i="1"/>
  <c r="F998" i="1"/>
  <c r="E998" i="1"/>
  <c r="I997" i="1"/>
  <c r="E997" i="1"/>
  <c r="F997" i="1" s="1"/>
  <c r="I996" i="1"/>
  <c r="E996" i="1"/>
  <c r="F996" i="1" s="1"/>
  <c r="I995" i="1"/>
  <c r="E995" i="1"/>
  <c r="F995" i="1" s="1"/>
  <c r="I994" i="1"/>
  <c r="E994" i="1"/>
  <c r="F994" i="1" s="1"/>
  <c r="I993" i="1"/>
  <c r="E993" i="1"/>
  <c r="F993" i="1" s="1"/>
  <c r="I992" i="1"/>
  <c r="F992" i="1"/>
  <c r="E992" i="1"/>
  <c r="I991" i="1"/>
  <c r="F991" i="1"/>
  <c r="E991" i="1"/>
  <c r="I990" i="1"/>
  <c r="F990" i="1"/>
  <c r="E990" i="1"/>
  <c r="I989" i="1"/>
  <c r="E989" i="1"/>
  <c r="F989" i="1" s="1"/>
  <c r="I988" i="1"/>
  <c r="E988" i="1"/>
  <c r="F988" i="1" s="1"/>
  <c r="I987" i="1"/>
  <c r="E987" i="1"/>
  <c r="F987" i="1" s="1"/>
  <c r="I986" i="1"/>
  <c r="E986" i="1"/>
  <c r="F986" i="1" s="1"/>
  <c r="I985" i="1"/>
  <c r="E985" i="1"/>
  <c r="F985" i="1" s="1"/>
  <c r="I984" i="1"/>
  <c r="F984" i="1"/>
  <c r="E984" i="1"/>
  <c r="I983" i="1"/>
  <c r="F983" i="1"/>
  <c r="E983" i="1"/>
  <c r="I982" i="1"/>
  <c r="F982" i="1"/>
  <c r="E982" i="1"/>
  <c r="I981" i="1"/>
  <c r="E981" i="1"/>
  <c r="F981" i="1" s="1"/>
  <c r="I980" i="1"/>
  <c r="E980" i="1"/>
  <c r="F980" i="1" s="1"/>
  <c r="I979" i="1"/>
  <c r="E979" i="1"/>
  <c r="F979" i="1" s="1"/>
  <c r="I978" i="1"/>
  <c r="E978" i="1"/>
  <c r="F978" i="1" s="1"/>
  <c r="I977" i="1"/>
  <c r="E977" i="1"/>
  <c r="F977" i="1" s="1"/>
  <c r="I976" i="1"/>
  <c r="F976" i="1"/>
  <c r="E976" i="1"/>
  <c r="I975" i="1"/>
  <c r="F975" i="1"/>
  <c r="E975" i="1"/>
  <c r="I974" i="1"/>
  <c r="F974" i="1"/>
  <c r="E974" i="1"/>
  <c r="I973" i="1"/>
  <c r="E973" i="1"/>
  <c r="F973" i="1" s="1"/>
  <c r="I972" i="1"/>
  <c r="E972" i="1"/>
  <c r="F972" i="1" s="1"/>
  <c r="I971" i="1"/>
  <c r="E971" i="1"/>
  <c r="F971" i="1" s="1"/>
  <c r="I970" i="1"/>
  <c r="E970" i="1"/>
  <c r="F970" i="1" s="1"/>
  <c r="I969" i="1"/>
  <c r="E969" i="1"/>
  <c r="F969" i="1" s="1"/>
  <c r="I968" i="1"/>
  <c r="F968" i="1"/>
  <c r="E968" i="1"/>
  <c r="I967" i="1"/>
  <c r="F967" i="1"/>
  <c r="E967" i="1"/>
  <c r="I966" i="1"/>
  <c r="F966" i="1"/>
  <c r="E966" i="1"/>
  <c r="I965" i="1"/>
  <c r="E965" i="1"/>
  <c r="F965" i="1" s="1"/>
  <c r="I964" i="1"/>
  <c r="E964" i="1"/>
  <c r="F964" i="1" s="1"/>
  <c r="I963" i="1"/>
  <c r="E963" i="1"/>
  <c r="F963" i="1" s="1"/>
  <c r="I962" i="1"/>
  <c r="E962" i="1"/>
  <c r="F962" i="1" s="1"/>
  <c r="I961" i="1"/>
  <c r="E961" i="1"/>
  <c r="F961" i="1" s="1"/>
  <c r="I960" i="1"/>
  <c r="F960" i="1"/>
  <c r="E960" i="1"/>
  <c r="I959" i="1"/>
  <c r="F959" i="1"/>
  <c r="E959" i="1"/>
  <c r="I958" i="1"/>
  <c r="F958" i="1"/>
  <c r="E958" i="1"/>
  <c r="I957" i="1"/>
  <c r="E957" i="1"/>
  <c r="F957" i="1" s="1"/>
  <c r="I956" i="1"/>
  <c r="E956" i="1"/>
  <c r="F956" i="1" s="1"/>
  <c r="I955" i="1"/>
  <c r="E955" i="1"/>
  <c r="F955" i="1" s="1"/>
  <c r="I954" i="1"/>
  <c r="E954" i="1"/>
  <c r="F954" i="1" s="1"/>
  <c r="I953" i="1"/>
  <c r="E953" i="1"/>
  <c r="F953" i="1" s="1"/>
  <c r="I952" i="1"/>
  <c r="F952" i="1"/>
  <c r="E952" i="1"/>
  <c r="I951" i="1"/>
  <c r="F951" i="1"/>
  <c r="E951" i="1"/>
  <c r="I950" i="1"/>
  <c r="F950" i="1"/>
  <c r="E950" i="1"/>
  <c r="I949" i="1"/>
  <c r="E949" i="1"/>
  <c r="F949" i="1" s="1"/>
  <c r="I948" i="1"/>
  <c r="E948" i="1"/>
  <c r="F948" i="1" s="1"/>
  <c r="I947" i="1"/>
  <c r="E947" i="1"/>
  <c r="F947" i="1" s="1"/>
  <c r="I946" i="1"/>
  <c r="E946" i="1"/>
  <c r="F946" i="1" s="1"/>
  <c r="I945" i="1"/>
  <c r="E945" i="1"/>
  <c r="F945" i="1" s="1"/>
  <c r="I944" i="1"/>
  <c r="F944" i="1"/>
  <c r="E944" i="1"/>
  <c r="I943" i="1"/>
  <c r="F943" i="1"/>
  <c r="E943" i="1"/>
  <c r="I942" i="1"/>
  <c r="F942" i="1"/>
  <c r="E942" i="1"/>
  <c r="I941" i="1"/>
  <c r="E941" i="1"/>
  <c r="F941" i="1" s="1"/>
  <c r="I940" i="1"/>
  <c r="E940" i="1"/>
  <c r="F940" i="1" s="1"/>
  <c r="I939" i="1"/>
  <c r="E939" i="1"/>
  <c r="F939" i="1" s="1"/>
  <c r="I938" i="1"/>
  <c r="E938" i="1"/>
  <c r="F938" i="1" s="1"/>
  <c r="I937" i="1"/>
  <c r="E937" i="1"/>
  <c r="F937" i="1" s="1"/>
  <c r="I936" i="1"/>
  <c r="F936" i="1"/>
  <c r="E936" i="1"/>
  <c r="I935" i="1"/>
  <c r="F935" i="1"/>
  <c r="E935" i="1"/>
  <c r="I934" i="1"/>
  <c r="F934" i="1"/>
  <c r="E934" i="1"/>
  <c r="I933" i="1"/>
  <c r="E933" i="1"/>
  <c r="F933" i="1" s="1"/>
  <c r="I932" i="1"/>
  <c r="E932" i="1"/>
  <c r="F932" i="1" s="1"/>
  <c r="I931" i="1"/>
  <c r="E931" i="1"/>
  <c r="F931" i="1" s="1"/>
  <c r="I930" i="1"/>
  <c r="E930" i="1"/>
  <c r="F930" i="1" s="1"/>
  <c r="I929" i="1"/>
  <c r="E929" i="1"/>
  <c r="F929" i="1" s="1"/>
  <c r="I928" i="1"/>
  <c r="F928" i="1"/>
  <c r="E928" i="1"/>
  <c r="I927" i="1"/>
  <c r="F927" i="1"/>
  <c r="E927" i="1"/>
  <c r="I926" i="1"/>
  <c r="F926" i="1"/>
  <c r="E926" i="1"/>
  <c r="I925" i="1"/>
  <c r="E925" i="1"/>
  <c r="F925" i="1" s="1"/>
  <c r="I924" i="1"/>
  <c r="E924" i="1"/>
  <c r="F924" i="1" s="1"/>
  <c r="I923" i="1"/>
  <c r="E923" i="1"/>
  <c r="F923" i="1" s="1"/>
  <c r="I922" i="1"/>
  <c r="E922" i="1"/>
  <c r="F922" i="1" s="1"/>
  <c r="I921" i="1"/>
  <c r="E921" i="1"/>
  <c r="F921" i="1" s="1"/>
  <c r="I920" i="1"/>
  <c r="F920" i="1"/>
  <c r="E920" i="1"/>
  <c r="I919" i="1"/>
  <c r="F919" i="1"/>
  <c r="E919" i="1"/>
  <c r="I918" i="1"/>
  <c r="F918" i="1"/>
  <c r="E918" i="1"/>
  <c r="I917" i="1"/>
  <c r="E917" i="1"/>
  <c r="F917" i="1" s="1"/>
  <c r="I916" i="1"/>
  <c r="E916" i="1"/>
  <c r="F916" i="1" s="1"/>
  <c r="I915" i="1"/>
  <c r="E915" i="1"/>
  <c r="F915" i="1" s="1"/>
  <c r="I914" i="1"/>
  <c r="E914" i="1"/>
  <c r="F914" i="1" s="1"/>
  <c r="I913" i="1"/>
  <c r="E913" i="1"/>
  <c r="F913" i="1" s="1"/>
  <c r="I912" i="1"/>
  <c r="F912" i="1"/>
  <c r="E912" i="1"/>
  <c r="I911" i="1"/>
  <c r="F911" i="1"/>
  <c r="E911" i="1"/>
  <c r="I910" i="1"/>
  <c r="F910" i="1"/>
  <c r="E910" i="1"/>
  <c r="I909" i="1"/>
  <c r="E909" i="1"/>
  <c r="F909" i="1" s="1"/>
  <c r="I908" i="1"/>
  <c r="E908" i="1"/>
  <c r="F908" i="1" s="1"/>
  <c r="I907" i="1"/>
  <c r="E907" i="1"/>
  <c r="F907" i="1" s="1"/>
  <c r="I906" i="1"/>
  <c r="E906" i="1"/>
  <c r="F906" i="1" s="1"/>
  <c r="I905" i="1"/>
  <c r="F905" i="1"/>
  <c r="E905" i="1"/>
  <c r="I904" i="1"/>
  <c r="F904" i="1"/>
  <c r="E904" i="1"/>
  <c r="I903" i="1"/>
  <c r="F903" i="1"/>
  <c r="E903" i="1"/>
  <c r="I902" i="1"/>
  <c r="F902" i="1"/>
  <c r="E902" i="1"/>
  <c r="I901" i="1"/>
  <c r="E901" i="1"/>
  <c r="F901" i="1" s="1"/>
  <c r="I900" i="1"/>
  <c r="E900" i="1"/>
  <c r="F900" i="1" s="1"/>
  <c r="I899" i="1"/>
  <c r="E899" i="1"/>
  <c r="F899" i="1" s="1"/>
  <c r="I898" i="1"/>
  <c r="E898" i="1"/>
  <c r="F898" i="1" s="1"/>
  <c r="I897" i="1"/>
  <c r="E897" i="1"/>
  <c r="F897" i="1" s="1"/>
  <c r="I896" i="1"/>
  <c r="F896" i="1"/>
  <c r="E896" i="1"/>
  <c r="I895" i="1"/>
  <c r="F895" i="1"/>
  <c r="E895" i="1"/>
  <c r="I894" i="1"/>
  <c r="F894" i="1"/>
  <c r="E894" i="1"/>
  <c r="I893" i="1"/>
  <c r="E893" i="1"/>
  <c r="F893" i="1" s="1"/>
  <c r="I892" i="1"/>
  <c r="E892" i="1"/>
  <c r="F892" i="1" s="1"/>
  <c r="I891" i="1"/>
  <c r="E891" i="1"/>
  <c r="F891" i="1" s="1"/>
  <c r="I890" i="1"/>
  <c r="E890" i="1"/>
  <c r="F890" i="1" s="1"/>
  <c r="I889" i="1"/>
  <c r="F889" i="1"/>
  <c r="E889" i="1"/>
  <c r="I888" i="1"/>
  <c r="F888" i="1"/>
  <c r="E888" i="1"/>
  <c r="I887" i="1"/>
  <c r="F887" i="1"/>
  <c r="E887" i="1"/>
  <c r="I886" i="1"/>
  <c r="F886" i="1"/>
  <c r="E886" i="1"/>
  <c r="I885" i="1"/>
  <c r="E885" i="1"/>
  <c r="F885" i="1" s="1"/>
  <c r="I884" i="1"/>
  <c r="E884" i="1"/>
  <c r="F884" i="1" s="1"/>
  <c r="I883" i="1"/>
  <c r="E883" i="1"/>
  <c r="F883" i="1" s="1"/>
  <c r="I882" i="1"/>
  <c r="E882" i="1"/>
  <c r="F882" i="1" s="1"/>
  <c r="I881" i="1"/>
  <c r="E881" i="1"/>
  <c r="F881" i="1" s="1"/>
  <c r="I880" i="1"/>
  <c r="F880" i="1"/>
  <c r="E880" i="1"/>
  <c r="I879" i="1"/>
  <c r="F879" i="1"/>
  <c r="E879" i="1"/>
  <c r="I878" i="1"/>
  <c r="F878" i="1"/>
  <c r="E878" i="1"/>
  <c r="I877" i="1"/>
  <c r="E877" i="1"/>
  <c r="F877" i="1" s="1"/>
  <c r="I876" i="1"/>
  <c r="E876" i="1"/>
  <c r="F876" i="1" s="1"/>
  <c r="I875" i="1"/>
  <c r="E875" i="1"/>
  <c r="F875" i="1" s="1"/>
  <c r="I874" i="1"/>
  <c r="E874" i="1"/>
  <c r="F874" i="1" s="1"/>
  <c r="I873" i="1"/>
  <c r="F873" i="1"/>
  <c r="E873" i="1"/>
  <c r="I872" i="1"/>
  <c r="F872" i="1"/>
  <c r="E872" i="1"/>
  <c r="I871" i="1"/>
  <c r="F871" i="1"/>
  <c r="E871" i="1"/>
  <c r="I870" i="1"/>
  <c r="F870" i="1"/>
  <c r="E870" i="1"/>
  <c r="I869" i="1"/>
  <c r="E869" i="1"/>
  <c r="F869" i="1" s="1"/>
  <c r="I868" i="1"/>
  <c r="E868" i="1"/>
  <c r="F868" i="1" s="1"/>
  <c r="I867" i="1"/>
  <c r="E867" i="1"/>
  <c r="F867" i="1" s="1"/>
  <c r="I866" i="1"/>
  <c r="E866" i="1"/>
  <c r="F866" i="1" s="1"/>
  <c r="I865" i="1"/>
  <c r="E865" i="1"/>
  <c r="F865" i="1" s="1"/>
  <c r="I864" i="1"/>
  <c r="F864" i="1"/>
  <c r="E864" i="1"/>
  <c r="I863" i="1"/>
  <c r="F863" i="1"/>
  <c r="E863" i="1"/>
  <c r="I862" i="1"/>
  <c r="F862" i="1"/>
  <c r="E862" i="1"/>
  <c r="I861" i="1"/>
  <c r="E861" i="1"/>
  <c r="F861" i="1" s="1"/>
  <c r="I860" i="1"/>
  <c r="E860" i="1"/>
  <c r="F860" i="1" s="1"/>
  <c r="I859" i="1"/>
  <c r="E859" i="1"/>
  <c r="F859" i="1" s="1"/>
  <c r="I858" i="1"/>
  <c r="E858" i="1"/>
  <c r="F858" i="1" s="1"/>
  <c r="I857" i="1"/>
  <c r="F857" i="1"/>
  <c r="E857" i="1"/>
  <c r="I856" i="1"/>
  <c r="F856" i="1"/>
  <c r="E856" i="1"/>
  <c r="I855" i="1"/>
  <c r="F855" i="1"/>
  <c r="E855" i="1"/>
  <c r="I854" i="1"/>
  <c r="F854" i="1"/>
  <c r="E854" i="1"/>
  <c r="I853" i="1"/>
  <c r="E853" i="1"/>
  <c r="F853" i="1" s="1"/>
  <c r="I852" i="1"/>
  <c r="E852" i="1"/>
  <c r="F852" i="1" s="1"/>
  <c r="I851" i="1"/>
  <c r="E851" i="1"/>
  <c r="F851" i="1" s="1"/>
  <c r="I850" i="1"/>
  <c r="E850" i="1"/>
  <c r="F850" i="1" s="1"/>
  <c r="I849" i="1"/>
  <c r="E849" i="1"/>
  <c r="F849" i="1" s="1"/>
  <c r="I848" i="1"/>
  <c r="F848" i="1"/>
  <c r="E848" i="1"/>
  <c r="I847" i="1"/>
  <c r="F847" i="1"/>
  <c r="E847" i="1"/>
  <c r="I846" i="1"/>
  <c r="F846" i="1"/>
  <c r="E846" i="1"/>
  <c r="I845" i="1"/>
  <c r="E845" i="1"/>
  <c r="F845" i="1" s="1"/>
  <c r="I844" i="1"/>
  <c r="E844" i="1"/>
  <c r="F844" i="1" s="1"/>
  <c r="I843" i="1"/>
  <c r="E843" i="1"/>
  <c r="F843" i="1" s="1"/>
  <c r="I842" i="1"/>
  <c r="E842" i="1"/>
  <c r="F842" i="1" s="1"/>
  <c r="I841" i="1"/>
  <c r="F841" i="1"/>
  <c r="E841" i="1"/>
  <c r="I840" i="1"/>
  <c r="F840" i="1"/>
  <c r="E840" i="1"/>
  <c r="I839" i="1"/>
  <c r="F839" i="1"/>
  <c r="E839" i="1"/>
  <c r="I838" i="1"/>
  <c r="F838" i="1"/>
  <c r="E838" i="1"/>
  <c r="I837" i="1"/>
  <c r="E837" i="1"/>
  <c r="F837" i="1" s="1"/>
  <c r="I836" i="1"/>
  <c r="E836" i="1"/>
  <c r="F836" i="1" s="1"/>
  <c r="I835" i="1"/>
  <c r="E835" i="1"/>
  <c r="F835" i="1" s="1"/>
  <c r="I834" i="1"/>
  <c r="E834" i="1"/>
  <c r="F834" i="1" s="1"/>
  <c r="I833" i="1"/>
  <c r="E833" i="1"/>
  <c r="F833" i="1" s="1"/>
  <c r="I832" i="1"/>
  <c r="F832" i="1"/>
  <c r="E832" i="1"/>
  <c r="I831" i="1"/>
  <c r="F831" i="1"/>
  <c r="E831" i="1"/>
  <c r="I830" i="1"/>
  <c r="F830" i="1"/>
  <c r="E830" i="1"/>
  <c r="I829" i="1"/>
  <c r="E829" i="1"/>
  <c r="F829" i="1" s="1"/>
  <c r="I828" i="1"/>
  <c r="E828" i="1"/>
  <c r="F828" i="1" s="1"/>
  <c r="I827" i="1"/>
  <c r="E827" i="1"/>
  <c r="F827" i="1" s="1"/>
  <c r="I826" i="1"/>
  <c r="E826" i="1"/>
  <c r="F826" i="1" s="1"/>
  <c r="I825" i="1"/>
  <c r="F825" i="1"/>
  <c r="E825" i="1"/>
  <c r="I824" i="1"/>
  <c r="F824" i="1"/>
  <c r="E824" i="1"/>
  <c r="I823" i="1"/>
  <c r="F823" i="1"/>
  <c r="E823" i="1"/>
  <c r="I822" i="1"/>
  <c r="F822" i="1"/>
  <c r="E822" i="1"/>
  <c r="I821" i="1"/>
  <c r="E821" i="1"/>
  <c r="F821" i="1" s="1"/>
  <c r="I820" i="1"/>
  <c r="E820" i="1"/>
  <c r="F820" i="1" s="1"/>
  <c r="I819" i="1"/>
  <c r="E819" i="1"/>
  <c r="F819" i="1" s="1"/>
  <c r="I818" i="1"/>
  <c r="E818" i="1"/>
  <c r="F818" i="1" s="1"/>
  <c r="I817" i="1"/>
  <c r="E817" i="1"/>
  <c r="F817" i="1" s="1"/>
  <c r="I816" i="1"/>
  <c r="F816" i="1"/>
  <c r="E816" i="1"/>
  <c r="I815" i="1"/>
  <c r="F815" i="1"/>
  <c r="E815" i="1"/>
  <c r="I814" i="1"/>
  <c r="F814" i="1"/>
  <c r="E814" i="1"/>
  <c r="I813" i="1"/>
  <c r="E813" i="1"/>
  <c r="F813" i="1" s="1"/>
  <c r="I812" i="1"/>
  <c r="E812" i="1"/>
  <c r="F812" i="1" s="1"/>
  <c r="I811" i="1"/>
  <c r="E811" i="1"/>
  <c r="F811" i="1" s="1"/>
  <c r="I810" i="1"/>
  <c r="E810" i="1"/>
  <c r="F810" i="1" s="1"/>
  <c r="I809" i="1"/>
  <c r="F809" i="1"/>
  <c r="E809" i="1"/>
  <c r="I808" i="1"/>
  <c r="F808" i="1"/>
  <c r="E808" i="1"/>
  <c r="I807" i="1"/>
  <c r="F807" i="1"/>
  <c r="E807" i="1"/>
  <c r="I806" i="1"/>
  <c r="F806" i="1"/>
  <c r="E806" i="1"/>
  <c r="I805" i="1"/>
  <c r="E805" i="1"/>
  <c r="F805" i="1" s="1"/>
  <c r="I804" i="1"/>
  <c r="E804" i="1"/>
  <c r="F804" i="1" s="1"/>
  <c r="I803" i="1"/>
  <c r="E803" i="1"/>
  <c r="F803" i="1" s="1"/>
  <c r="I802" i="1"/>
  <c r="E802" i="1"/>
  <c r="F802" i="1" s="1"/>
  <c r="I801" i="1"/>
  <c r="E801" i="1"/>
  <c r="F801" i="1" s="1"/>
  <c r="I800" i="1"/>
  <c r="F800" i="1"/>
  <c r="E800" i="1"/>
  <c r="I799" i="1"/>
  <c r="F799" i="1"/>
  <c r="E799" i="1"/>
  <c r="I798" i="1"/>
  <c r="F798" i="1"/>
  <c r="E798" i="1"/>
  <c r="I797" i="1"/>
  <c r="E797" i="1"/>
  <c r="F797" i="1" s="1"/>
  <c r="I796" i="1"/>
  <c r="E796" i="1"/>
  <c r="F796" i="1" s="1"/>
  <c r="I795" i="1"/>
  <c r="E795" i="1"/>
  <c r="F795" i="1" s="1"/>
  <c r="I794" i="1"/>
  <c r="E794" i="1"/>
  <c r="F794" i="1" s="1"/>
  <c r="I793" i="1"/>
  <c r="F793" i="1"/>
  <c r="E793" i="1"/>
  <c r="I792" i="1"/>
  <c r="F792" i="1"/>
  <c r="E792" i="1"/>
  <c r="I791" i="1"/>
  <c r="F791" i="1"/>
  <c r="E791" i="1"/>
  <c r="I790" i="1"/>
  <c r="F790" i="1"/>
  <c r="E790" i="1"/>
  <c r="I789" i="1"/>
  <c r="E789" i="1"/>
  <c r="F789" i="1" s="1"/>
  <c r="I788" i="1"/>
  <c r="E788" i="1"/>
  <c r="F788" i="1" s="1"/>
  <c r="I787" i="1"/>
  <c r="E787" i="1"/>
  <c r="F787" i="1" s="1"/>
  <c r="I786" i="1"/>
  <c r="E786" i="1"/>
  <c r="F786" i="1" s="1"/>
  <c r="I785" i="1"/>
  <c r="E785" i="1"/>
  <c r="F785" i="1" s="1"/>
  <c r="I784" i="1"/>
  <c r="F784" i="1"/>
  <c r="E784" i="1"/>
  <c r="I783" i="1"/>
  <c r="F783" i="1"/>
  <c r="E783" i="1"/>
  <c r="I782" i="1"/>
  <c r="F782" i="1"/>
  <c r="E782" i="1"/>
  <c r="I781" i="1"/>
  <c r="E781" i="1"/>
  <c r="F781" i="1" s="1"/>
  <c r="I780" i="1"/>
  <c r="E780" i="1"/>
  <c r="F780" i="1" s="1"/>
  <c r="I779" i="1"/>
  <c r="E779" i="1"/>
  <c r="F779" i="1" s="1"/>
  <c r="I778" i="1"/>
  <c r="E778" i="1"/>
  <c r="F778" i="1" s="1"/>
  <c r="I777" i="1"/>
  <c r="F777" i="1"/>
  <c r="E777" i="1"/>
  <c r="I776" i="1"/>
  <c r="F776" i="1"/>
  <c r="E776" i="1"/>
  <c r="I775" i="1"/>
  <c r="F775" i="1"/>
  <c r="E775" i="1"/>
  <c r="I774" i="1"/>
  <c r="F774" i="1"/>
  <c r="E774" i="1"/>
  <c r="I773" i="1"/>
  <c r="E773" i="1"/>
  <c r="F773" i="1" s="1"/>
  <c r="I772" i="1"/>
  <c r="E772" i="1"/>
  <c r="F772" i="1" s="1"/>
  <c r="I771" i="1"/>
  <c r="E771" i="1"/>
  <c r="F771" i="1" s="1"/>
  <c r="I770" i="1"/>
  <c r="E770" i="1"/>
  <c r="F770" i="1" s="1"/>
  <c r="I769" i="1"/>
  <c r="E769" i="1"/>
  <c r="F769" i="1" s="1"/>
  <c r="I768" i="1"/>
  <c r="F768" i="1"/>
  <c r="E768" i="1"/>
  <c r="I767" i="1"/>
  <c r="F767" i="1"/>
  <c r="E767" i="1"/>
  <c r="I766" i="1"/>
  <c r="F766" i="1"/>
  <c r="E766" i="1"/>
  <c r="I765" i="1"/>
  <c r="E765" i="1"/>
  <c r="F765" i="1" s="1"/>
  <c r="I764" i="1"/>
  <c r="E764" i="1"/>
  <c r="F764" i="1" s="1"/>
  <c r="I763" i="1"/>
  <c r="E763" i="1"/>
  <c r="F763" i="1" s="1"/>
  <c r="I762" i="1"/>
  <c r="E762" i="1"/>
  <c r="F762" i="1" s="1"/>
  <c r="I761" i="1"/>
  <c r="F761" i="1"/>
  <c r="E761" i="1"/>
  <c r="I760" i="1"/>
  <c r="F760" i="1"/>
  <c r="E760" i="1"/>
  <c r="I759" i="1"/>
  <c r="F759" i="1"/>
  <c r="E759" i="1"/>
  <c r="I758" i="1"/>
  <c r="F758" i="1"/>
  <c r="E758" i="1"/>
  <c r="I757" i="1"/>
  <c r="E757" i="1"/>
  <c r="F757" i="1" s="1"/>
  <c r="I756" i="1"/>
  <c r="E756" i="1"/>
  <c r="F756" i="1" s="1"/>
  <c r="I755" i="1"/>
  <c r="E755" i="1"/>
  <c r="F755" i="1" s="1"/>
  <c r="I754" i="1"/>
  <c r="E754" i="1"/>
  <c r="F754" i="1" s="1"/>
  <c r="I753" i="1"/>
  <c r="E753" i="1"/>
  <c r="F753" i="1" s="1"/>
  <c r="I752" i="1"/>
  <c r="F752" i="1"/>
  <c r="E752" i="1"/>
  <c r="I751" i="1"/>
  <c r="F751" i="1"/>
  <c r="E751" i="1"/>
  <c r="I750" i="1"/>
  <c r="F750" i="1"/>
  <c r="E750" i="1"/>
  <c r="I749" i="1"/>
  <c r="E749" i="1"/>
  <c r="F749" i="1" s="1"/>
  <c r="I748" i="1"/>
  <c r="E748" i="1"/>
  <c r="F748" i="1" s="1"/>
  <c r="I747" i="1"/>
  <c r="E747" i="1"/>
  <c r="F747" i="1" s="1"/>
  <c r="I746" i="1"/>
  <c r="E746" i="1"/>
  <c r="F746" i="1" s="1"/>
  <c r="I745" i="1"/>
  <c r="F745" i="1"/>
  <c r="E745" i="1"/>
  <c r="I744" i="1"/>
  <c r="F744" i="1"/>
  <c r="E744" i="1"/>
  <c r="I743" i="1"/>
  <c r="F743" i="1"/>
  <c r="E743" i="1"/>
  <c r="I742" i="1"/>
  <c r="F742" i="1"/>
  <c r="E742" i="1"/>
  <c r="I741" i="1"/>
  <c r="E741" i="1"/>
  <c r="F741" i="1" s="1"/>
  <c r="I740" i="1"/>
  <c r="E740" i="1"/>
  <c r="F740" i="1" s="1"/>
  <c r="I739" i="1"/>
  <c r="E739" i="1"/>
  <c r="F739" i="1" s="1"/>
  <c r="I738" i="1"/>
  <c r="E738" i="1"/>
  <c r="F738" i="1" s="1"/>
  <c r="I737" i="1"/>
  <c r="E737" i="1"/>
  <c r="F737" i="1" s="1"/>
  <c r="I736" i="1"/>
  <c r="F736" i="1"/>
  <c r="E736" i="1"/>
  <c r="I735" i="1"/>
  <c r="F735" i="1"/>
  <c r="E735" i="1"/>
  <c r="I734" i="1"/>
  <c r="F734" i="1"/>
  <c r="E734" i="1"/>
  <c r="I733" i="1"/>
  <c r="E733" i="1"/>
  <c r="F733" i="1" s="1"/>
  <c r="I732" i="1"/>
  <c r="E732" i="1"/>
  <c r="F732" i="1" s="1"/>
  <c r="I731" i="1"/>
  <c r="E731" i="1"/>
  <c r="F731" i="1" s="1"/>
  <c r="I730" i="1"/>
  <c r="E730" i="1"/>
  <c r="F730" i="1" s="1"/>
  <c r="I729" i="1"/>
  <c r="F729" i="1"/>
  <c r="E729" i="1"/>
  <c r="I728" i="1"/>
  <c r="F728" i="1"/>
  <c r="E728" i="1"/>
  <c r="I727" i="1"/>
  <c r="F727" i="1"/>
  <c r="E727" i="1"/>
  <c r="I726" i="1"/>
  <c r="F726" i="1"/>
  <c r="E726" i="1"/>
  <c r="I725" i="1"/>
  <c r="E725" i="1"/>
  <c r="F725" i="1" s="1"/>
  <c r="I724" i="1"/>
  <c r="E724" i="1"/>
  <c r="F724" i="1" s="1"/>
  <c r="I723" i="1"/>
  <c r="E723" i="1"/>
  <c r="F723" i="1" s="1"/>
  <c r="I722" i="1"/>
  <c r="E722" i="1"/>
  <c r="F722" i="1" s="1"/>
  <c r="I721" i="1"/>
  <c r="E721" i="1"/>
  <c r="F721" i="1" s="1"/>
  <c r="I720" i="1"/>
  <c r="F720" i="1"/>
  <c r="E720" i="1"/>
  <c r="I719" i="1"/>
  <c r="F719" i="1"/>
  <c r="E719" i="1"/>
  <c r="I718" i="1"/>
  <c r="F718" i="1"/>
  <c r="E718" i="1"/>
  <c r="I717" i="1"/>
  <c r="E717" i="1"/>
  <c r="F717" i="1" s="1"/>
  <c r="I716" i="1"/>
  <c r="E716" i="1"/>
  <c r="F716" i="1" s="1"/>
  <c r="I715" i="1"/>
  <c r="E715" i="1"/>
  <c r="F715" i="1" s="1"/>
  <c r="I714" i="1"/>
  <c r="E714" i="1"/>
  <c r="F714" i="1" s="1"/>
  <c r="I713" i="1"/>
  <c r="F713" i="1"/>
  <c r="E713" i="1"/>
  <c r="I712" i="1"/>
  <c r="F712" i="1"/>
  <c r="E712" i="1"/>
  <c r="I711" i="1"/>
  <c r="F711" i="1"/>
  <c r="E711" i="1"/>
  <c r="I710" i="1"/>
  <c r="F710" i="1"/>
  <c r="E710" i="1"/>
  <c r="I709" i="1"/>
  <c r="E709" i="1"/>
  <c r="F709" i="1" s="1"/>
  <c r="I708" i="1"/>
  <c r="E708" i="1"/>
  <c r="F708" i="1" s="1"/>
  <c r="I707" i="1"/>
  <c r="E707" i="1"/>
  <c r="F707" i="1" s="1"/>
  <c r="I706" i="1"/>
  <c r="E706" i="1"/>
  <c r="F706" i="1" s="1"/>
  <c r="I705" i="1"/>
  <c r="E705" i="1"/>
  <c r="F705" i="1" s="1"/>
  <c r="I704" i="1"/>
  <c r="F704" i="1"/>
  <c r="E704" i="1"/>
  <c r="I703" i="1"/>
  <c r="F703" i="1"/>
  <c r="E703" i="1"/>
  <c r="I702" i="1"/>
  <c r="F702" i="1"/>
  <c r="E702" i="1"/>
  <c r="I701" i="1"/>
  <c r="E701" i="1"/>
  <c r="F701" i="1" s="1"/>
  <c r="I700" i="1"/>
  <c r="E700" i="1"/>
  <c r="F700" i="1" s="1"/>
  <c r="I699" i="1"/>
  <c r="E699" i="1"/>
  <c r="F699" i="1" s="1"/>
  <c r="I698" i="1"/>
  <c r="E698" i="1"/>
  <c r="F698" i="1" s="1"/>
  <c r="I697" i="1"/>
  <c r="F697" i="1"/>
  <c r="E697" i="1"/>
  <c r="I696" i="1"/>
  <c r="F696" i="1"/>
  <c r="E696" i="1"/>
  <c r="I695" i="1"/>
  <c r="F695" i="1"/>
  <c r="E695" i="1"/>
  <c r="I694" i="1"/>
  <c r="F694" i="1"/>
  <c r="E694" i="1"/>
  <c r="I693" i="1"/>
  <c r="E693" i="1"/>
  <c r="F693" i="1" s="1"/>
  <c r="I692" i="1"/>
  <c r="E692" i="1"/>
  <c r="F692" i="1" s="1"/>
  <c r="I691" i="1"/>
  <c r="E691" i="1"/>
  <c r="F691" i="1" s="1"/>
  <c r="I690" i="1"/>
  <c r="E690" i="1"/>
  <c r="F690" i="1" s="1"/>
  <c r="I689" i="1"/>
  <c r="E689" i="1"/>
  <c r="F689" i="1" s="1"/>
  <c r="I688" i="1"/>
  <c r="F688" i="1"/>
  <c r="E688" i="1"/>
  <c r="I687" i="1"/>
  <c r="F687" i="1"/>
  <c r="E687" i="1"/>
  <c r="I686" i="1"/>
  <c r="F686" i="1"/>
  <c r="E686" i="1"/>
  <c r="I685" i="1"/>
  <c r="E685" i="1"/>
  <c r="F685" i="1" s="1"/>
  <c r="I684" i="1"/>
  <c r="E684" i="1"/>
  <c r="F684" i="1" s="1"/>
  <c r="I683" i="1"/>
  <c r="E683" i="1"/>
  <c r="F683" i="1" s="1"/>
  <c r="I682" i="1"/>
  <c r="E682" i="1"/>
  <c r="F682" i="1" s="1"/>
  <c r="I681" i="1"/>
  <c r="F681" i="1"/>
  <c r="E681" i="1"/>
  <c r="I680" i="1"/>
  <c r="F680" i="1"/>
  <c r="E680" i="1"/>
  <c r="I679" i="1"/>
  <c r="F679" i="1"/>
  <c r="E679" i="1"/>
  <c r="I678" i="1"/>
  <c r="F678" i="1"/>
  <c r="E678" i="1"/>
  <c r="I677" i="1"/>
  <c r="E677" i="1"/>
  <c r="F677" i="1" s="1"/>
  <c r="I676" i="1"/>
  <c r="E676" i="1"/>
  <c r="F676" i="1" s="1"/>
  <c r="I675" i="1"/>
  <c r="E675" i="1"/>
  <c r="F675" i="1" s="1"/>
  <c r="I674" i="1"/>
  <c r="E674" i="1"/>
  <c r="F674" i="1" s="1"/>
  <c r="I673" i="1"/>
  <c r="E673" i="1"/>
  <c r="F673" i="1" s="1"/>
  <c r="I672" i="1"/>
  <c r="F672" i="1"/>
  <c r="E672" i="1"/>
  <c r="I671" i="1"/>
  <c r="F671" i="1"/>
  <c r="E671" i="1"/>
  <c r="I670" i="1"/>
  <c r="F670" i="1"/>
  <c r="E670" i="1"/>
  <c r="I669" i="1"/>
  <c r="E669" i="1"/>
  <c r="F669" i="1" s="1"/>
  <c r="I668" i="1"/>
  <c r="E668" i="1"/>
  <c r="F668" i="1" s="1"/>
  <c r="I667" i="1"/>
  <c r="E667" i="1"/>
  <c r="F667" i="1" s="1"/>
  <c r="I666" i="1"/>
  <c r="E666" i="1"/>
  <c r="F666" i="1" s="1"/>
  <c r="I665" i="1"/>
  <c r="F665" i="1"/>
  <c r="E665" i="1"/>
  <c r="I664" i="1"/>
  <c r="F664" i="1"/>
  <c r="E664" i="1"/>
  <c r="I663" i="1"/>
  <c r="F663" i="1"/>
  <c r="E663" i="1"/>
  <c r="I662" i="1"/>
  <c r="F662" i="1"/>
  <c r="E662" i="1"/>
  <c r="I661" i="1"/>
  <c r="E661" i="1"/>
  <c r="F661" i="1" s="1"/>
  <c r="I660" i="1"/>
  <c r="E660" i="1"/>
  <c r="F660" i="1" s="1"/>
  <c r="I659" i="1"/>
  <c r="E659" i="1"/>
  <c r="F659" i="1" s="1"/>
  <c r="I658" i="1"/>
  <c r="E658" i="1"/>
  <c r="F658" i="1" s="1"/>
  <c r="I657" i="1"/>
  <c r="E657" i="1"/>
  <c r="F657" i="1" s="1"/>
  <c r="I656" i="1"/>
  <c r="F656" i="1"/>
  <c r="E656" i="1"/>
  <c r="I655" i="1"/>
  <c r="F655" i="1"/>
  <c r="E655" i="1"/>
  <c r="I654" i="1"/>
  <c r="F654" i="1"/>
  <c r="E654" i="1"/>
  <c r="I653" i="1"/>
  <c r="E653" i="1"/>
  <c r="F653" i="1" s="1"/>
  <c r="I652" i="1"/>
  <c r="E652" i="1"/>
  <c r="F652" i="1" s="1"/>
  <c r="I651" i="1"/>
  <c r="E651" i="1"/>
  <c r="F651" i="1" s="1"/>
  <c r="I650" i="1"/>
  <c r="E650" i="1"/>
  <c r="F650" i="1" s="1"/>
  <c r="I649" i="1"/>
  <c r="F649" i="1"/>
  <c r="E649" i="1"/>
  <c r="I648" i="1"/>
  <c r="F648" i="1"/>
  <c r="E648" i="1"/>
  <c r="I647" i="1"/>
  <c r="F647" i="1"/>
  <c r="E647" i="1"/>
  <c r="I646" i="1"/>
  <c r="F646" i="1"/>
  <c r="E646" i="1"/>
  <c r="I645" i="1"/>
  <c r="E645" i="1"/>
  <c r="F645" i="1" s="1"/>
  <c r="I644" i="1"/>
  <c r="E644" i="1"/>
  <c r="F644" i="1" s="1"/>
  <c r="I643" i="1"/>
  <c r="E643" i="1"/>
  <c r="F643" i="1" s="1"/>
  <c r="I642" i="1"/>
  <c r="E642" i="1"/>
  <c r="F642" i="1" s="1"/>
  <c r="I641" i="1"/>
  <c r="E641" i="1"/>
  <c r="F641" i="1" s="1"/>
  <c r="I640" i="1"/>
  <c r="F640" i="1"/>
  <c r="E640" i="1"/>
  <c r="I639" i="1"/>
  <c r="F639" i="1"/>
  <c r="E639" i="1"/>
  <c r="I638" i="1"/>
  <c r="F638" i="1"/>
  <c r="E638" i="1"/>
  <c r="I637" i="1"/>
  <c r="E637" i="1"/>
  <c r="F637" i="1" s="1"/>
  <c r="I636" i="1"/>
  <c r="E636" i="1"/>
  <c r="F636" i="1" s="1"/>
  <c r="I635" i="1"/>
  <c r="E635" i="1"/>
  <c r="F635" i="1" s="1"/>
  <c r="I634" i="1"/>
  <c r="E634" i="1"/>
  <c r="F634" i="1" s="1"/>
  <c r="I633" i="1"/>
  <c r="F633" i="1"/>
  <c r="E633" i="1"/>
  <c r="I632" i="1"/>
  <c r="F632" i="1"/>
  <c r="E632" i="1"/>
  <c r="I631" i="1"/>
  <c r="F631" i="1"/>
  <c r="E631" i="1"/>
  <c r="I630" i="1"/>
  <c r="F630" i="1"/>
  <c r="E630" i="1"/>
  <c r="I629" i="1"/>
  <c r="E629" i="1"/>
  <c r="F629" i="1" s="1"/>
  <c r="I628" i="1"/>
  <c r="E628" i="1"/>
  <c r="F628" i="1" s="1"/>
  <c r="I627" i="1"/>
  <c r="E627" i="1"/>
  <c r="F627" i="1" s="1"/>
  <c r="I626" i="1"/>
  <c r="E626" i="1"/>
  <c r="F626" i="1" s="1"/>
  <c r="I625" i="1"/>
  <c r="E625" i="1"/>
  <c r="F625" i="1" s="1"/>
  <c r="I624" i="1"/>
  <c r="F624" i="1"/>
  <c r="E624" i="1"/>
  <c r="I623" i="1"/>
  <c r="F623" i="1"/>
  <c r="E623" i="1"/>
  <c r="I622" i="1"/>
  <c r="F622" i="1"/>
  <c r="E622" i="1"/>
  <c r="I621" i="1"/>
  <c r="E621" i="1"/>
  <c r="F621" i="1" s="1"/>
  <c r="I620" i="1"/>
  <c r="E620" i="1"/>
  <c r="F620" i="1" s="1"/>
  <c r="I619" i="1"/>
  <c r="E619" i="1"/>
  <c r="F619" i="1" s="1"/>
  <c r="I618" i="1"/>
  <c r="E618" i="1"/>
  <c r="F618" i="1" s="1"/>
  <c r="I617" i="1"/>
  <c r="F617" i="1"/>
  <c r="E617" i="1"/>
  <c r="I616" i="1"/>
  <c r="F616" i="1"/>
  <c r="E616" i="1"/>
  <c r="I615" i="1"/>
  <c r="F615" i="1"/>
  <c r="E615" i="1"/>
  <c r="I614" i="1"/>
  <c r="F614" i="1"/>
  <c r="E614" i="1"/>
  <c r="I613" i="1"/>
  <c r="E613" i="1"/>
  <c r="F613" i="1" s="1"/>
  <c r="I612" i="1"/>
  <c r="E612" i="1"/>
  <c r="F612" i="1" s="1"/>
  <c r="I611" i="1"/>
  <c r="E611" i="1"/>
  <c r="F611" i="1" s="1"/>
  <c r="I610" i="1"/>
  <c r="E610" i="1"/>
  <c r="F610" i="1" s="1"/>
  <c r="I609" i="1"/>
  <c r="E609" i="1"/>
  <c r="F609" i="1" s="1"/>
  <c r="I608" i="1"/>
  <c r="F608" i="1"/>
  <c r="E608" i="1"/>
  <c r="I607" i="1"/>
  <c r="F607" i="1"/>
  <c r="E607" i="1"/>
  <c r="I606" i="1"/>
  <c r="F606" i="1"/>
  <c r="E606" i="1"/>
  <c r="I605" i="1"/>
  <c r="E605" i="1"/>
  <c r="F605" i="1" s="1"/>
  <c r="I604" i="1"/>
  <c r="E604" i="1"/>
  <c r="F604" i="1" s="1"/>
  <c r="I603" i="1"/>
  <c r="E603" i="1"/>
  <c r="F603" i="1" s="1"/>
  <c r="I602" i="1"/>
  <c r="E602" i="1"/>
  <c r="F602" i="1" s="1"/>
  <c r="I601" i="1"/>
  <c r="F601" i="1"/>
  <c r="E601" i="1"/>
  <c r="I600" i="1"/>
  <c r="F600" i="1"/>
  <c r="E600" i="1"/>
  <c r="I599" i="1"/>
  <c r="F599" i="1"/>
  <c r="E599" i="1"/>
  <c r="I598" i="1"/>
  <c r="F598" i="1"/>
  <c r="E598" i="1"/>
  <c r="I597" i="1"/>
  <c r="E597" i="1"/>
  <c r="F597" i="1" s="1"/>
  <c r="I596" i="1"/>
  <c r="E596" i="1"/>
  <c r="F596" i="1" s="1"/>
  <c r="I595" i="1"/>
  <c r="E595" i="1"/>
  <c r="F595" i="1" s="1"/>
  <c r="I594" i="1"/>
  <c r="E594" i="1"/>
  <c r="F594" i="1" s="1"/>
  <c r="I593" i="1"/>
  <c r="E593" i="1"/>
  <c r="F593" i="1" s="1"/>
  <c r="I592" i="1"/>
  <c r="F592" i="1"/>
  <c r="E592" i="1"/>
  <c r="I591" i="1"/>
  <c r="F591" i="1"/>
  <c r="E591" i="1"/>
  <c r="I590" i="1"/>
  <c r="F590" i="1"/>
  <c r="E590" i="1"/>
  <c r="I589" i="1"/>
  <c r="E589" i="1"/>
  <c r="F589" i="1" s="1"/>
  <c r="I588" i="1"/>
  <c r="E588" i="1"/>
  <c r="F588" i="1" s="1"/>
  <c r="I587" i="1"/>
  <c r="E587" i="1"/>
  <c r="F587" i="1" s="1"/>
  <c r="I586" i="1"/>
  <c r="E586" i="1"/>
  <c r="F586" i="1" s="1"/>
  <c r="I585" i="1"/>
  <c r="F585" i="1"/>
  <c r="E585" i="1"/>
  <c r="I584" i="1"/>
  <c r="F584" i="1"/>
  <c r="E584" i="1"/>
  <c r="I583" i="1"/>
  <c r="F583" i="1"/>
  <c r="E583" i="1"/>
  <c r="I582" i="1"/>
  <c r="F582" i="1"/>
  <c r="E582" i="1"/>
  <c r="I581" i="1"/>
  <c r="E581" i="1"/>
  <c r="F581" i="1" s="1"/>
  <c r="I580" i="1"/>
  <c r="E580" i="1"/>
  <c r="F580" i="1" s="1"/>
  <c r="I579" i="1"/>
  <c r="E579" i="1"/>
  <c r="F579" i="1" s="1"/>
  <c r="I578" i="1"/>
  <c r="E578" i="1"/>
  <c r="F578" i="1" s="1"/>
  <c r="I577" i="1"/>
  <c r="E577" i="1"/>
  <c r="F577" i="1" s="1"/>
  <c r="I576" i="1"/>
  <c r="F576" i="1"/>
  <c r="E576" i="1"/>
  <c r="I575" i="1"/>
  <c r="F575" i="1"/>
  <c r="E575" i="1"/>
  <c r="I574" i="1"/>
  <c r="F574" i="1"/>
  <c r="E574" i="1"/>
  <c r="I573" i="1"/>
  <c r="E573" i="1"/>
  <c r="F573" i="1" s="1"/>
  <c r="I572" i="1"/>
  <c r="E572" i="1"/>
  <c r="F572" i="1" s="1"/>
  <c r="I571" i="1"/>
  <c r="E571" i="1"/>
  <c r="F571" i="1" s="1"/>
  <c r="I570" i="1"/>
  <c r="E570" i="1"/>
  <c r="F570" i="1" s="1"/>
  <c r="I569" i="1"/>
  <c r="F569" i="1"/>
  <c r="E569" i="1"/>
  <c r="I568" i="1"/>
  <c r="F568" i="1"/>
  <c r="E568" i="1"/>
  <c r="I567" i="1"/>
  <c r="F567" i="1"/>
  <c r="E567" i="1"/>
  <c r="I566" i="1"/>
  <c r="F566" i="1"/>
  <c r="E566" i="1"/>
  <c r="I565" i="1"/>
  <c r="E565" i="1"/>
  <c r="F565" i="1" s="1"/>
  <c r="I564" i="1"/>
  <c r="E564" i="1"/>
  <c r="F564" i="1" s="1"/>
  <c r="I563" i="1"/>
  <c r="E563" i="1"/>
  <c r="F563" i="1" s="1"/>
  <c r="I562" i="1"/>
  <c r="E562" i="1"/>
  <c r="F562" i="1" s="1"/>
  <c r="I561" i="1"/>
  <c r="E561" i="1"/>
  <c r="F561" i="1" s="1"/>
  <c r="I560" i="1"/>
  <c r="F560" i="1"/>
  <c r="E560" i="1"/>
  <c r="I559" i="1"/>
  <c r="F559" i="1"/>
  <c r="E559" i="1"/>
  <c r="I558" i="1"/>
  <c r="F558" i="1"/>
  <c r="E558" i="1"/>
  <c r="I557" i="1"/>
  <c r="E557" i="1"/>
  <c r="F557" i="1" s="1"/>
  <c r="I556" i="1"/>
  <c r="E556" i="1"/>
  <c r="F556" i="1" s="1"/>
  <c r="I555" i="1"/>
  <c r="E555" i="1"/>
  <c r="F555" i="1" s="1"/>
  <c r="I554" i="1"/>
  <c r="E554" i="1"/>
  <c r="F554" i="1" s="1"/>
  <c r="I553" i="1"/>
  <c r="F553" i="1"/>
  <c r="E553" i="1"/>
  <c r="I552" i="1"/>
  <c r="E552" i="1"/>
  <c r="F552" i="1" s="1"/>
  <c r="I551" i="1"/>
  <c r="F551" i="1"/>
  <c r="E551" i="1"/>
  <c r="I550" i="1"/>
  <c r="F550" i="1"/>
  <c r="E550" i="1"/>
  <c r="I549" i="1"/>
  <c r="F549" i="1"/>
  <c r="E549" i="1"/>
  <c r="I548" i="1"/>
  <c r="E548" i="1"/>
  <c r="F548" i="1" s="1"/>
  <c r="I547" i="1"/>
  <c r="E547" i="1"/>
  <c r="F547" i="1" s="1"/>
  <c r="I546" i="1"/>
  <c r="E546" i="1"/>
  <c r="F546" i="1" s="1"/>
  <c r="I545" i="1"/>
  <c r="E545" i="1"/>
  <c r="F545" i="1" s="1"/>
  <c r="I544" i="1"/>
  <c r="E544" i="1"/>
  <c r="F544" i="1" s="1"/>
  <c r="I543" i="1"/>
  <c r="F543" i="1"/>
  <c r="E543" i="1"/>
  <c r="I542" i="1"/>
  <c r="F542" i="1"/>
  <c r="E542" i="1"/>
  <c r="I541" i="1"/>
  <c r="F541" i="1"/>
  <c r="E541" i="1"/>
  <c r="I540" i="1"/>
  <c r="E540" i="1"/>
  <c r="F540" i="1" s="1"/>
  <c r="I539" i="1"/>
  <c r="E539" i="1"/>
  <c r="F539" i="1" s="1"/>
  <c r="I538" i="1"/>
  <c r="E538" i="1"/>
  <c r="F538" i="1" s="1"/>
  <c r="I537" i="1"/>
  <c r="F537" i="1"/>
  <c r="E537" i="1"/>
  <c r="I536" i="1"/>
  <c r="E536" i="1"/>
  <c r="F536" i="1" s="1"/>
  <c r="I535" i="1"/>
  <c r="F535" i="1"/>
  <c r="E535" i="1"/>
  <c r="I534" i="1"/>
  <c r="F534" i="1"/>
  <c r="E534" i="1"/>
  <c r="I533" i="1"/>
  <c r="F533" i="1"/>
  <c r="E533" i="1"/>
  <c r="I532" i="1"/>
  <c r="E532" i="1"/>
  <c r="F532" i="1" s="1"/>
  <c r="I531" i="1"/>
  <c r="E531" i="1"/>
  <c r="F531" i="1" s="1"/>
  <c r="I530" i="1"/>
  <c r="E530" i="1"/>
  <c r="F530" i="1" s="1"/>
  <c r="I529" i="1"/>
  <c r="E529" i="1"/>
  <c r="F529" i="1" s="1"/>
  <c r="I528" i="1"/>
  <c r="E528" i="1"/>
  <c r="F528" i="1" s="1"/>
  <c r="I527" i="1"/>
  <c r="F527" i="1"/>
  <c r="E527" i="1"/>
  <c r="I526" i="1"/>
  <c r="F526" i="1"/>
  <c r="E526" i="1"/>
  <c r="I525" i="1"/>
  <c r="F525" i="1"/>
  <c r="E525" i="1"/>
  <c r="I524" i="1"/>
  <c r="E524" i="1"/>
  <c r="F524" i="1" s="1"/>
  <c r="I523" i="1"/>
  <c r="E523" i="1"/>
  <c r="F523" i="1" s="1"/>
  <c r="I522" i="1"/>
  <c r="E522" i="1"/>
  <c r="F522" i="1" s="1"/>
  <c r="I521" i="1"/>
  <c r="F521" i="1"/>
  <c r="E521" i="1"/>
  <c r="I520" i="1"/>
  <c r="E520" i="1"/>
  <c r="F520" i="1" s="1"/>
  <c r="I519" i="1"/>
  <c r="F519" i="1"/>
  <c r="E519" i="1"/>
  <c r="I518" i="1"/>
  <c r="F518" i="1"/>
  <c r="E518" i="1"/>
  <c r="I517" i="1"/>
  <c r="F517" i="1"/>
  <c r="E517" i="1"/>
  <c r="I516" i="1"/>
  <c r="E516" i="1"/>
  <c r="F516" i="1" s="1"/>
  <c r="I515" i="1"/>
  <c r="E515" i="1"/>
  <c r="F515" i="1" s="1"/>
  <c r="I514" i="1"/>
  <c r="E514" i="1"/>
  <c r="F514" i="1" s="1"/>
  <c r="I513" i="1"/>
  <c r="E513" i="1"/>
  <c r="F513" i="1" s="1"/>
  <c r="I512" i="1"/>
  <c r="E512" i="1"/>
  <c r="F512" i="1" s="1"/>
  <c r="I511" i="1"/>
  <c r="F511" i="1"/>
  <c r="E511" i="1"/>
  <c r="I510" i="1"/>
  <c r="F510" i="1"/>
  <c r="E510" i="1"/>
  <c r="I509" i="1"/>
  <c r="F509" i="1"/>
  <c r="E509" i="1"/>
  <c r="I508" i="1"/>
  <c r="E508" i="1"/>
  <c r="F508" i="1" s="1"/>
  <c r="I507" i="1"/>
  <c r="E507" i="1"/>
  <c r="F507" i="1" s="1"/>
  <c r="I506" i="1"/>
  <c r="E506" i="1"/>
  <c r="F506" i="1" s="1"/>
  <c r="I505" i="1"/>
  <c r="F505" i="1"/>
  <c r="E505" i="1"/>
  <c r="I504" i="1"/>
  <c r="E504" i="1"/>
  <c r="F504" i="1" s="1"/>
  <c r="I503" i="1"/>
  <c r="F503" i="1"/>
  <c r="E503" i="1"/>
  <c r="I502" i="1"/>
  <c r="F502" i="1"/>
  <c r="E502" i="1"/>
  <c r="I501" i="1"/>
  <c r="F501" i="1"/>
  <c r="E501" i="1"/>
  <c r="I500" i="1"/>
  <c r="E500" i="1"/>
  <c r="F500" i="1" s="1"/>
  <c r="I499" i="1"/>
  <c r="E499" i="1"/>
  <c r="F499" i="1" s="1"/>
  <c r="I498" i="1"/>
  <c r="E498" i="1"/>
  <c r="F498" i="1" s="1"/>
  <c r="I497" i="1"/>
  <c r="E497" i="1"/>
  <c r="F497" i="1" s="1"/>
  <c r="I496" i="1"/>
  <c r="E496" i="1"/>
  <c r="F496" i="1" s="1"/>
  <c r="I495" i="1"/>
  <c r="F495" i="1"/>
  <c r="E495" i="1"/>
  <c r="I494" i="1"/>
  <c r="F494" i="1"/>
  <c r="E494" i="1"/>
  <c r="I493" i="1"/>
  <c r="F493" i="1"/>
  <c r="E493" i="1"/>
  <c r="I492" i="1"/>
  <c r="E492" i="1"/>
  <c r="F492" i="1" s="1"/>
  <c r="I491" i="1"/>
  <c r="E491" i="1"/>
  <c r="F491" i="1" s="1"/>
  <c r="I490" i="1"/>
  <c r="E490" i="1"/>
  <c r="F490" i="1" s="1"/>
  <c r="I489" i="1"/>
  <c r="F489" i="1"/>
  <c r="E489" i="1"/>
  <c r="I488" i="1"/>
  <c r="E488" i="1"/>
  <c r="F488" i="1" s="1"/>
  <c r="I487" i="1"/>
  <c r="F487" i="1"/>
  <c r="E487" i="1"/>
  <c r="I486" i="1"/>
  <c r="F486" i="1"/>
  <c r="E486" i="1"/>
  <c r="I485" i="1"/>
  <c r="F485" i="1"/>
  <c r="E485" i="1"/>
  <c r="I484" i="1"/>
  <c r="E484" i="1"/>
  <c r="F484" i="1" s="1"/>
  <c r="I483" i="1"/>
  <c r="E483" i="1"/>
  <c r="F483" i="1" s="1"/>
  <c r="I482" i="1"/>
  <c r="E482" i="1"/>
  <c r="F482" i="1" s="1"/>
  <c r="I481" i="1"/>
  <c r="E481" i="1"/>
  <c r="F481" i="1" s="1"/>
  <c r="I480" i="1"/>
  <c r="E480" i="1"/>
  <c r="F480" i="1" s="1"/>
  <c r="I479" i="1"/>
  <c r="F479" i="1"/>
  <c r="E479" i="1"/>
  <c r="I478" i="1"/>
  <c r="F478" i="1"/>
  <c r="E478" i="1"/>
  <c r="I477" i="1"/>
  <c r="F477" i="1"/>
  <c r="E477" i="1"/>
  <c r="I476" i="1"/>
  <c r="E476" i="1"/>
  <c r="F476" i="1" s="1"/>
  <c r="I475" i="1"/>
  <c r="E475" i="1"/>
  <c r="F475" i="1" s="1"/>
  <c r="I474" i="1"/>
  <c r="E474" i="1"/>
  <c r="F474" i="1" s="1"/>
  <c r="I473" i="1"/>
  <c r="F473" i="1"/>
  <c r="E473" i="1"/>
  <c r="I472" i="1"/>
  <c r="E472" i="1"/>
  <c r="F472" i="1" s="1"/>
  <c r="I471" i="1"/>
  <c r="F471" i="1"/>
  <c r="E471" i="1"/>
  <c r="I470" i="1"/>
  <c r="F470" i="1"/>
  <c r="E470" i="1"/>
  <c r="I469" i="1"/>
  <c r="F469" i="1"/>
  <c r="E469" i="1"/>
  <c r="I468" i="1"/>
  <c r="E468" i="1"/>
  <c r="F468" i="1" s="1"/>
  <c r="I467" i="1"/>
  <c r="E467" i="1"/>
  <c r="F467" i="1" s="1"/>
  <c r="I466" i="1"/>
  <c r="E466" i="1"/>
  <c r="F466" i="1" s="1"/>
  <c r="I465" i="1"/>
  <c r="E465" i="1"/>
  <c r="F465" i="1" s="1"/>
  <c r="I464" i="1"/>
  <c r="E464" i="1"/>
  <c r="F464" i="1" s="1"/>
  <c r="I463" i="1"/>
  <c r="F463" i="1"/>
  <c r="E463" i="1"/>
  <c r="I462" i="1"/>
  <c r="F462" i="1"/>
  <c r="E462" i="1"/>
  <c r="I461" i="1"/>
  <c r="F461" i="1"/>
  <c r="E461" i="1"/>
  <c r="I460" i="1"/>
  <c r="E460" i="1"/>
  <c r="F460" i="1" s="1"/>
  <c r="I459" i="1"/>
  <c r="E459" i="1"/>
  <c r="F459" i="1" s="1"/>
  <c r="I458" i="1"/>
  <c r="E458" i="1"/>
  <c r="F458" i="1" s="1"/>
  <c r="I457" i="1"/>
  <c r="F457" i="1"/>
  <c r="E457" i="1"/>
  <c r="I456" i="1"/>
  <c r="E456" i="1"/>
  <c r="F456" i="1" s="1"/>
  <c r="I455" i="1"/>
  <c r="F455" i="1"/>
  <c r="E455" i="1"/>
  <c r="I454" i="1"/>
  <c r="F454" i="1"/>
  <c r="E454" i="1"/>
  <c r="I453" i="1"/>
  <c r="F453" i="1"/>
  <c r="E453" i="1"/>
  <c r="I452" i="1"/>
  <c r="E452" i="1"/>
  <c r="F452" i="1" s="1"/>
  <c r="I451" i="1"/>
  <c r="E451" i="1"/>
  <c r="F451" i="1" s="1"/>
  <c r="I450" i="1"/>
  <c r="E450" i="1"/>
  <c r="F450" i="1" s="1"/>
  <c r="I449" i="1"/>
  <c r="E449" i="1"/>
  <c r="F449" i="1" s="1"/>
  <c r="I448" i="1"/>
  <c r="E448" i="1"/>
  <c r="F448" i="1" s="1"/>
  <c r="I447" i="1"/>
  <c r="F447" i="1"/>
  <c r="E447" i="1"/>
  <c r="I446" i="1"/>
  <c r="F446" i="1"/>
  <c r="E446" i="1"/>
  <c r="I445" i="1"/>
  <c r="F445" i="1"/>
  <c r="E445" i="1"/>
  <c r="I444" i="1"/>
  <c r="E444" i="1"/>
  <c r="F444" i="1" s="1"/>
  <c r="I443" i="1"/>
  <c r="E443" i="1"/>
  <c r="F443" i="1" s="1"/>
  <c r="I442" i="1"/>
  <c r="E442" i="1"/>
  <c r="F442" i="1" s="1"/>
  <c r="I441" i="1"/>
  <c r="E441" i="1"/>
  <c r="F441" i="1" s="1"/>
  <c r="I440" i="1"/>
  <c r="E440" i="1"/>
  <c r="F440" i="1" s="1"/>
  <c r="I439" i="1"/>
  <c r="F439" i="1"/>
  <c r="E439" i="1"/>
  <c r="I438" i="1"/>
  <c r="F438" i="1"/>
  <c r="E438" i="1"/>
  <c r="I437" i="1"/>
  <c r="F437" i="1"/>
  <c r="E437" i="1"/>
  <c r="I436" i="1"/>
  <c r="E436" i="1"/>
  <c r="F436" i="1" s="1"/>
  <c r="I435" i="1"/>
  <c r="E435" i="1"/>
  <c r="F435" i="1" s="1"/>
  <c r="I434" i="1"/>
  <c r="E434" i="1"/>
  <c r="F434" i="1" s="1"/>
  <c r="I433" i="1"/>
  <c r="F433" i="1"/>
  <c r="E433" i="1"/>
  <c r="I432" i="1"/>
  <c r="E432" i="1"/>
  <c r="F432" i="1" s="1"/>
  <c r="I431" i="1"/>
  <c r="F431" i="1"/>
  <c r="E431" i="1"/>
  <c r="I430" i="1"/>
  <c r="F430" i="1"/>
  <c r="E430" i="1"/>
  <c r="I429" i="1"/>
  <c r="F429" i="1"/>
  <c r="E429" i="1"/>
  <c r="I428" i="1"/>
  <c r="E428" i="1"/>
  <c r="F428" i="1" s="1"/>
  <c r="I427" i="1"/>
  <c r="E427" i="1"/>
  <c r="F427" i="1" s="1"/>
  <c r="I426" i="1"/>
  <c r="E426" i="1"/>
  <c r="F426" i="1" s="1"/>
  <c r="I425" i="1"/>
  <c r="E425" i="1"/>
  <c r="F425" i="1" s="1"/>
  <c r="I424" i="1"/>
  <c r="F424" i="1"/>
  <c r="E424" i="1"/>
  <c r="I423" i="1"/>
  <c r="F423" i="1"/>
  <c r="E423" i="1"/>
  <c r="I422" i="1"/>
  <c r="F422" i="1"/>
  <c r="E422" i="1"/>
  <c r="I421" i="1"/>
  <c r="F421" i="1"/>
  <c r="E421" i="1"/>
  <c r="I420" i="1"/>
  <c r="E420" i="1"/>
  <c r="F420" i="1" s="1"/>
  <c r="I419" i="1"/>
  <c r="E419" i="1"/>
  <c r="F419" i="1" s="1"/>
  <c r="I418" i="1"/>
  <c r="E418" i="1"/>
  <c r="F418" i="1" s="1"/>
  <c r="I417" i="1"/>
  <c r="F417" i="1"/>
  <c r="E417" i="1"/>
  <c r="I416" i="1"/>
  <c r="E416" i="1"/>
  <c r="F416" i="1" s="1"/>
  <c r="I415" i="1"/>
  <c r="F415" i="1"/>
  <c r="E415" i="1"/>
  <c r="I414" i="1"/>
  <c r="F414" i="1"/>
  <c r="E414" i="1"/>
  <c r="I413" i="1"/>
  <c r="F413" i="1"/>
  <c r="E413" i="1"/>
  <c r="I412" i="1"/>
  <c r="E412" i="1"/>
  <c r="F412" i="1" s="1"/>
  <c r="I411" i="1"/>
  <c r="E411" i="1"/>
  <c r="F411" i="1" s="1"/>
  <c r="I410" i="1"/>
  <c r="E410" i="1"/>
  <c r="F410" i="1" s="1"/>
  <c r="I409" i="1"/>
  <c r="F409" i="1"/>
  <c r="E409" i="1"/>
  <c r="I408" i="1"/>
  <c r="F408" i="1"/>
  <c r="E408" i="1"/>
  <c r="I407" i="1"/>
  <c r="F407" i="1"/>
  <c r="E407" i="1"/>
  <c r="I406" i="1"/>
  <c r="F406" i="1"/>
  <c r="E406" i="1"/>
  <c r="I405" i="1"/>
  <c r="F405" i="1"/>
  <c r="E405" i="1"/>
  <c r="I404" i="1"/>
  <c r="E404" i="1"/>
  <c r="F404" i="1" s="1"/>
  <c r="I403" i="1"/>
  <c r="E403" i="1"/>
  <c r="F403" i="1" s="1"/>
  <c r="I402" i="1"/>
  <c r="E402" i="1"/>
  <c r="F402" i="1" s="1"/>
  <c r="I401" i="1"/>
  <c r="F401" i="1"/>
  <c r="E401" i="1"/>
  <c r="I400" i="1"/>
  <c r="F400" i="1"/>
  <c r="E400" i="1"/>
  <c r="I399" i="1"/>
  <c r="F399" i="1"/>
  <c r="E399" i="1"/>
  <c r="I398" i="1"/>
  <c r="F398" i="1"/>
  <c r="E398" i="1"/>
  <c r="I397" i="1"/>
  <c r="F397" i="1"/>
  <c r="E397" i="1"/>
  <c r="I396" i="1"/>
  <c r="E396" i="1"/>
  <c r="F396" i="1" s="1"/>
  <c r="I395" i="1"/>
  <c r="E395" i="1"/>
  <c r="F395" i="1" s="1"/>
  <c r="I394" i="1"/>
  <c r="E394" i="1"/>
  <c r="F394" i="1" s="1"/>
  <c r="I393" i="1"/>
  <c r="E393" i="1"/>
  <c r="F393" i="1" s="1"/>
  <c r="I392" i="1"/>
  <c r="F392" i="1"/>
  <c r="E392" i="1"/>
  <c r="I391" i="1"/>
  <c r="F391" i="1"/>
  <c r="E391" i="1"/>
  <c r="I390" i="1"/>
  <c r="F390" i="1"/>
  <c r="E390" i="1"/>
  <c r="I389" i="1"/>
  <c r="F389" i="1"/>
  <c r="E389" i="1"/>
  <c r="I388" i="1"/>
  <c r="E388" i="1"/>
  <c r="F388" i="1" s="1"/>
  <c r="I387" i="1"/>
  <c r="E387" i="1"/>
  <c r="F387" i="1" s="1"/>
  <c r="I386" i="1"/>
  <c r="E386" i="1"/>
  <c r="F386" i="1" s="1"/>
  <c r="I385" i="1"/>
  <c r="E385" i="1"/>
  <c r="F385" i="1" s="1"/>
  <c r="I384" i="1"/>
  <c r="E384" i="1"/>
  <c r="F384" i="1" s="1"/>
  <c r="I383" i="1"/>
  <c r="F383" i="1"/>
  <c r="E383" i="1"/>
  <c r="I382" i="1"/>
  <c r="F382" i="1"/>
  <c r="E382" i="1"/>
  <c r="I381" i="1"/>
  <c r="F381" i="1"/>
  <c r="E381" i="1"/>
  <c r="I380" i="1"/>
  <c r="E380" i="1"/>
  <c r="F380" i="1" s="1"/>
  <c r="I379" i="1"/>
  <c r="E379" i="1"/>
  <c r="F379" i="1" s="1"/>
  <c r="I378" i="1"/>
  <c r="E378" i="1"/>
  <c r="F378" i="1" s="1"/>
  <c r="I377" i="1"/>
  <c r="E377" i="1"/>
  <c r="F377" i="1" s="1"/>
  <c r="I376" i="1"/>
  <c r="E376" i="1"/>
  <c r="F376" i="1" s="1"/>
  <c r="I375" i="1"/>
  <c r="F375" i="1"/>
  <c r="E375" i="1"/>
  <c r="I374" i="1"/>
  <c r="F374" i="1"/>
  <c r="E374" i="1"/>
  <c r="I373" i="1"/>
  <c r="F373" i="1"/>
  <c r="E373" i="1"/>
  <c r="I372" i="1"/>
  <c r="E372" i="1"/>
  <c r="F372" i="1" s="1"/>
  <c r="I371" i="1"/>
  <c r="E371" i="1"/>
  <c r="F371" i="1" s="1"/>
  <c r="I370" i="1"/>
  <c r="E370" i="1"/>
  <c r="F370" i="1" s="1"/>
  <c r="I369" i="1"/>
  <c r="F369" i="1"/>
  <c r="E369" i="1"/>
  <c r="I368" i="1"/>
  <c r="E368" i="1"/>
  <c r="F368" i="1" s="1"/>
  <c r="I367" i="1"/>
  <c r="F367" i="1"/>
  <c r="E367" i="1"/>
  <c r="I366" i="1"/>
  <c r="F366" i="1"/>
  <c r="E366" i="1"/>
  <c r="I365" i="1"/>
  <c r="F365" i="1"/>
  <c r="E365" i="1"/>
  <c r="I364" i="1"/>
  <c r="E364" i="1"/>
  <c r="F364" i="1" s="1"/>
  <c r="I363" i="1"/>
  <c r="E363" i="1"/>
  <c r="F363" i="1" s="1"/>
  <c r="I362" i="1"/>
  <c r="E362" i="1"/>
  <c r="F362" i="1" s="1"/>
  <c r="I361" i="1"/>
  <c r="E361" i="1"/>
  <c r="F361" i="1" s="1"/>
  <c r="I360" i="1"/>
  <c r="F360" i="1"/>
  <c r="E360" i="1"/>
  <c r="I359" i="1"/>
  <c r="F359" i="1"/>
  <c r="E359" i="1"/>
  <c r="I358" i="1"/>
  <c r="F358" i="1"/>
  <c r="E358" i="1"/>
  <c r="I357" i="1"/>
  <c r="F357" i="1"/>
  <c r="E357" i="1"/>
  <c r="I356" i="1"/>
  <c r="F356" i="1"/>
  <c r="E356" i="1"/>
  <c r="I355" i="1"/>
  <c r="E355" i="1"/>
  <c r="F355" i="1" s="1"/>
  <c r="I354" i="1"/>
  <c r="E354" i="1"/>
  <c r="F354" i="1" s="1"/>
  <c r="I353" i="1"/>
  <c r="E353" i="1"/>
  <c r="F353" i="1" s="1"/>
  <c r="I352" i="1"/>
  <c r="E352" i="1"/>
  <c r="F352" i="1" s="1"/>
  <c r="I351" i="1"/>
  <c r="E351" i="1"/>
  <c r="F351" i="1" s="1"/>
  <c r="I350" i="1"/>
  <c r="F350" i="1"/>
  <c r="E350" i="1"/>
  <c r="I349" i="1"/>
  <c r="F349" i="1"/>
  <c r="E349" i="1"/>
  <c r="I348" i="1"/>
  <c r="F348" i="1"/>
  <c r="E348" i="1"/>
  <c r="I347" i="1"/>
  <c r="E347" i="1"/>
  <c r="F347" i="1" s="1"/>
  <c r="I346" i="1"/>
  <c r="E346" i="1"/>
  <c r="F346" i="1" s="1"/>
  <c r="I345" i="1"/>
  <c r="F345" i="1"/>
  <c r="E345" i="1"/>
  <c r="I344" i="1"/>
  <c r="E344" i="1"/>
  <c r="F344" i="1" s="1"/>
  <c r="I343" i="1"/>
  <c r="F343" i="1"/>
  <c r="E343" i="1"/>
  <c r="I342" i="1"/>
  <c r="E342" i="1"/>
  <c r="F342" i="1" s="1"/>
  <c r="I341" i="1"/>
  <c r="F341" i="1"/>
  <c r="E341" i="1"/>
  <c r="I340" i="1"/>
  <c r="E340" i="1"/>
  <c r="F340" i="1" s="1"/>
  <c r="I339" i="1"/>
  <c r="F339" i="1"/>
  <c r="E339" i="1"/>
  <c r="I338" i="1"/>
  <c r="E338" i="1"/>
  <c r="F338" i="1" s="1"/>
  <c r="I337" i="1"/>
  <c r="E337" i="1"/>
  <c r="F337" i="1" s="1"/>
  <c r="I336" i="1"/>
  <c r="F336" i="1"/>
  <c r="E336" i="1"/>
  <c r="I335" i="1"/>
  <c r="F335" i="1"/>
  <c r="E335" i="1"/>
  <c r="I334" i="1"/>
  <c r="F334" i="1"/>
  <c r="E334" i="1"/>
  <c r="I333" i="1"/>
  <c r="F333" i="1"/>
  <c r="E333" i="1"/>
  <c r="I332" i="1"/>
  <c r="F332" i="1"/>
  <c r="E332" i="1"/>
  <c r="I331" i="1"/>
  <c r="E331" i="1"/>
  <c r="F331" i="1" s="1"/>
  <c r="I330" i="1"/>
  <c r="E330" i="1"/>
  <c r="F330" i="1" s="1"/>
  <c r="I329" i="1"/>
  <c r="F329" i="1"/>
  <c r="E329" i="1"/>
  <c r="I328" i="1"/>
  <c r="E328" i="1"/>
  <c r="F328" i="1" s="1"/>
  <c r="I327" i="1"/>
  <c r="E327" i="1"/>
  <c r="F327" i="1" s="1"/>
  <c r="I326" i="1"/>
  <c r="E326" i="1"/>
  <c r="F326" i="1" s="1"/>
  <c r="I325" i="1"/>
  <c r="F325" i="1"/>
  <c r="E325" i="1"/>
  <c r="I324" i="1"/>
  <c r="F324" i="1"/>
  <c r="E324" i="1"/>
  <c r="I323" i="1"/>
  <c r="F323" i="1"/>
  <c r="E323" i="1"/>
  <c r="I322" i="1"/>
  <c r="E322" i="1"/>
  <c r="F322" i="1" s="1"/>
  <c r="I321" i="1"/>
  <c r="F321" i="1"/>
  <c r="E321" i="1"/>
  <c r="I320" i="1"/>
  <c r="E320" i="1"/>
  <c r="F320" i="1" s="1"/>
  <c r="I319" i="1"/>
  <c r="E319" i="1"/>
  <c r="F319" i="1" s="1"/>
  <c r="I318" i="1"/>
  <c r="E318" i="1"/>
  <c r="F318" i="1" s="1"/>
  <c r="I317" i="1"/>
  <c r="F317" i="1"/>
  <c r="E317" i="1"/>
  <c r="I316" i="1"/>
  <c r="F316" i="1"/>
  <c r="E316" i="1"/>
  <c r="I315" i="1"/>
  <c r="F315" i="1"/>
  <c r="E315" i="1"/>
  <c r="I314" i="1"/>
  <c r="E314" i="1"/>
  <c r="F314" i="1" s="1"/>
  <c r="I313" i="1"/>
  <c r="F313" i="1"/>
  <c r="E313" i="1"/>
  <c r="I312" i="1"/>
  <c r="E312" i="1"/>
  <c r="F312" i="1" s="1"/>
  <c r="I311" i="1"/>
  <c r="E311" i="1"/>
  <c r="F311" i="1" s="1"/>
  <c r="I310" i="1"/>
  <c r="E310" i="1"/>
  <c r="F310" i="1" s="1"/>
  <c r="I309" i="1"/>
  <c r="F309" i="1"/>
  <c r="E309" i="1"/>
  <c r="I308" i="1"/>
  <c r="F308" i="1"/>
  <c r="E308" i="1"/>
  <c r="I307" i="1"/>
  <c r="F307" i="1"/>
  <c r="E307" i="1"/>
  <c r="I306" i="1"/>
  <c r="E306" i="1"/>
  <c r="F306" i="1" s="1"/>
  <c r="I305" i="1"/>
  <c r="F305" i="1"/>
  <c r="E305" i="1"/>
  <c r="I304" i="1"/>
  <c r="E304" i="1"/>
  <c r="F304" i="1" s="1"/>
  <c r="I289" i="1"/>
  <c r="E289" i="1"/>
  <c r="F289" i="1" s="1"/>
  <c r="I288" i="1"/>
  <c r="E288" i="1"/>
  <c r="F288" i="1" s="1"/>
  <c r="I287" i="1"/>
  <c r="E287" i="1"/>
  <c r="F287" i="1" s="1"/>
  <c r="I272" i="1"/>
  <c r="C6" i="3" s="1"/>
  <c r="E272" i="1"/>
  <c r="F272" i="1" s="1"/>
  <c r="I232" i="1"/>
  <c r="E232" i="1"/>
  <c r="F232" i="1" s="1"/>
  <c r="I210" i="1"/>
  <c r="E210" i="1"/>
  <c r="F210" i="1" s="1"/>
  <c r="I184" i="1"/>
  <c r="E184" i="1"/>
  <c r="F184" i="1" s="1"/>
  <c r="I183" i="1"/>
  <c r="E183" i="1"/>
  <c r="F183" i="1" s="1"/>
  <c r="I172" i="1"/>
  <c r="E172" i="1"/>
  <c r="F172" i="1" s="1"/>
  <c r="I168" i="1"/>
  <c r="E168" i="1"/>
  <c r="F168" i="1" s="1"/>
  <c r="I167" i="1"/>
  <c r="E167" i="1"/>
  <c r="F167" i="1" s="1"/>
  <c r="I154" i="1"/>
  <c r="E154" i="1"/>
  <c r="F154" i="1" s="1"/>
  <c r="I144" i="1"/>
  <c r="E144" i="1"/>
  <c r="F144" i="1" s="1"/>
  <c r="I143" i="1"/>
  <c r="E143" i="1"/>
  <c r="F143" i="1" s="1"/>
  <c r="I142" i="1"/>
  <c r="E142" i="1"/>
  <c r="F142" i="1" s="1"/>
  <c r="I141" i="1"/>
  <c r="F141" i="1"/>
  <c r="E141" i="1"/>
  <c r="I140" i="1"/>
  <c r="E140" i="1"/>
  <c r="F140" i="1" s="1"/>
  <c r="I139" i="1"/>
  <c r="E139" i="1"/>
  <c r="F139" i="1" s="1"/>
  <c r="I138" i="1"/>
  <c r="E138" i="1"/>
  <c r="F138" i="1" s="1"/>
  <c r="I137" i="1"/>
  <c r="E137" i="1"/>
  <c r="F137" i="1" s="1"/>
  <c r="I136" i="1"/>
  <c r="E136" i="1"/>
  <c r="F136" i="1" s="1"/>
  <c r="I135" i="1"/>
  <c r="E135" i="1"/>
  <c r="F135" i="1" s="1"/>
  <c r="I134" i="1"/>
  <c r="E134" i="1"/>
  <c r="F134" i="1" s="1"/>
  <c r="I133" i="1"/>
  <c r="E133" i="1"/>
  <c r="F133" i="1" s="1"/>
  <c r="I132" i="1"/>
  <c r="F132" i="1"/>
  <c r="E132" i="1"/>
  <c r="I131" i="1"/>
  <c r="F131" i="1"/>
  <c r="E131" i="1"/>
  <c r="I130" i="1"/>
  <c r="E130" i="1"/>
  <c r="F130" i="1" s="1"/>
  <c r="I129" i="1"/>
  <c r="F129" i="1"/>
  <c r="E129" i="1"/>
  <c r="I128" i="1"/>
  <c r="E128" i="1"/>
  <c r="F128" i="1" s="1"/>
  <c r="I127" i="1"/>
  <c r="E127" i="1"/>
  <c r="F127" i="1" s="1"/>
  <c r="I126" i="1"/>
  <c r="E126" i="1"/>
  <c r="F126" i="1" s="1"/>
  <c r="I125" i="1"/>
  <c r="E125" i="1"/>
  <c r="F125" i="1" s="1"/>
  <c r="I124" i="1"/>
  <c r="E124" i="1"/>
  <c r="F124" i="1" s="1"/>
  <c r="I123" i="1"/>
  <c r="E123" i="1"/>
  <c r="F123" i="1" s="1"/>
  <c r="I122" i="1"/>
  <c r="E122" i="1"/>
  <c r="F122" i="1" s="1"/>
  <c r="I121" i="1"/>
  <c r="E121" i="1"/>
  <c r="F121" i="1" s="1"/>
  <c r="I120" i="1"/>
  <c r="E120" i="1"/>
  <c r="F120" i="1" s="1"/>
  <c r="I119" i="1"/>
  <c r="E119" i="1"/>
  <c r="F119" i="1" s="1"/>
  <c r="I118" i="1"/>
  <c r="E118" i="1"/>
  <c r="F118" i="1" s="1"/>
  <c r="I117" i="1"/>
  <c r="F117" i="1"/>
  <c r="E117" i="1"/>
  <c r="I116" i="1"/>
  <c r="E116" i="1"/>
  <c r="F116" i="1" s="1"/>
  <c r="I115" i="1"/>
  <c r="E115" i="1"/>
  <c r="F115" i="1" s="1"/>
  <c r="I114" i="1"/>
  <c r="E114" i="1"/>
  <c r="F114" i="1" s="1"/>
  <c r="I113" i="1"/>
  <c r="E113" i="1"/>
  <c r="F113" i="1" s="1"/>
  <c r="I112" i="1"/>
  <c r="E112" i="1"/>
  <c r="F112" i="1" s="1"/>
  <c r="I111" i="1"/>
  <c r="E111" i="1"/>
  <c r="F111" i="1" s="1"/>
  <c r="I110" i="1"/>
  <c r="E110" i="1"/>
  <c r="F110" i="1" s="1"/>
  <c r="I109" i="1"/>
  <c r="E109" i="1"/>
  <c r="F109" i="1" s="1"/>
  <c r="I107" i="1"/>
  <c r="E107" i="1"/>
  <c r="F107" i="1" s="1"/>
  <c r="I106" i="1"/>
  <c r="E106" i="1"/>
  <c r="F106" i="1" s="1"/>
  <c r="I105" i="1"/>
  <c r="E105" i="1"/>
  <c r="F105" i="1" s="1"/>
  <c r="I104" i="1"/>
  <c r="E104" i="1"/>
  <c r="F104" i="1" s="1"/>
  <c r="I103" i="1"/>
  <c r="E103" i="1"/>
  <c r="F103" i="1" s="1"/>
  <c r="I102" i="1"/>
  <c r="E102" i="1"/>
  <c r="F102" i="1" s="1"/>
  <c r="I101" i="1"/>
  <c r="E101" i="1"/>
  <c r="F101" i="1" s="1"/>
  <c r="I100" i="1"/>
  <c r="E100" i="1"/>
  <c r="F100" i="1" s="1"/>
  <c r="I99" i="1"/>
  <c r="E99" i="1"/>
  <c r="F99" i="1" s="1"/>
  <c r="I98" i="1"/>
  <c r="E98" i="1"/>
  <c r="F98" i="1" s="1"/>
  <c r="I97" i="1"/>
  <c r="F97" i="1"/>
  <c r="E97" i="1"/>
  <c r="I96" i="1"/>
  <c r="E96" i="1"/>
  <c r="F96" i="1" s="1"/>
  <c r="I95" i="1"/>
  <c r="E95" i="1"/>
  <c r="F95" i="1" s="1"/>
  <c r="I94" i="1"/>
  <c r="E94" i="1"/>
  <c r="F94" i="1" s="1"/>
  <c r="I93" i="1"/>
  <c r="F93" i="1"/>
  <c r="E93" i="1"/>
  <c r="I92" i="1"/>
  <c r="E92" i="1"/>
  <c r="F92" i="1" s="1"/>
  <c r="I91" i="1"/>
  <c r="E91" i="1"/>
  <c r="F91" i="1" s="1"/>
  <c r="I90" i="1"/>
  <c r="E90" i="1"/>
  <c r="F90" i="1" s="1"/>
  <c r="I89" i="1"/>
  <c r="E89" i="1"/>
  <c r="F89" i="1" s="1"/>
  <c r="I88" i="1"/>
  <c r="E88" i="1"/>
  <c r="F88" i="1" s="1"/>
  <c r="I87" i="1"/>
  <c r="E87" i="1"/>
  <c r="F87" i="1" s="1"/>
  <c r="I86" i="1"/>
  <c r="E86" i="1"/>
  <c r="F86" i="1" s="1"/>
  <c r="I85" i="1"/>
  <c r="F85" i="1"/>
  <c r="E85" i="1"/>
  <c r="I84" i="1"/>
  <c r="E84" i="1"/>
  <c r="F84" i="1" s="1"/>
  <c r="I83" i="1"/>
  <c r="E83" i="1"/>
  <c r="F83" i="1" s="1"/>
  <c r="I82" i="1"/>
  <c r="E82" i="1"/>
  <c r="F82" i="1" s="1"/>
  <c r="I81" i="1"/>
  <c r="E81" i="1"/>
  <c r="F81" i="1" s="1"/>
  <c r="I80" i="1"/>
  <c r="E80" i="1"/>
  <c r="F80" i="1" s="1"/>
  <c r="I79" i="1"/>
  <c r="E79" i="1"/>
  <c r="F79" i="1" s="1"/>
  <c r="I78" i="1"/>
  <c r="E78" i="1"/>
  <c r="F78" i="1" s="1"/>
  <c r="I77" i="1"/>
  <c r="E77" i="1"/>
  <c r="F77" i="1" s="1"/>
  <c r="I76" i="1"/>
  <c r="E76" i="1"/>
  <c r="F76" i="1" s="1"/>
  <c r="I75" i="1"/>
  <c r="E75" i="1"/>
  <c r="F75" i="1" s="1"/>
  <c r="I74" i="1"/>
  <c r="E74" i="1"/>
  <c r="F74" i="1" s="1"/>
  <c r="I73" i="1"/>
  <c r="E73" i="1"/>
  <c r="F73" i="1" s="1"/>
  <c r="I72" i="1"/>
  <c r="E72" i="1"/>
  <c r="F72" i="1" s="1"/>
  <c r="I71" i="1"/>
  <c r="E71" i="1"/>
  <c r="F71" i="1" s="1"/>
  <c r="I70" i="1"/>
  <c r="E70" i="1"/>
  <c r="F70" i="1" s="1"/>
  <c r="I69" i="1"/>
  <c r="F69" i="1"/>
  <c r="E69" i="1"/>
  <c r="I68" i="1"/>
  <c r="E68" i="1"/>
  <c r="F68" i="1" s="1"/>
  <c r="I67" i="1"/>
  <c r="E67" i="1"/>
  <c r="F67" i="1" s="1"/>
  <c r="I66" i="1"/>
  <c r="E66" i="1"/>
  <c r="F66" i="1" s="1"/>
  <c r="I65" i="1"/>
  <c r="E65" i="1"/>
  <c r="F65" i="1" s="1"/>
  <c r="I64" i="1"/>
  <c r="E64" i="1"/>
  <c r="F64" i="1" s="1"/>
  <c r="I63" i="1"/>
  <c r="E63" i="1"/>
  <c r="F63" i="1" s="1"/>
  <c r="I62" i="1"/>
  <c r="E62" i="1"/>
  <c r="F62" i="1" s="1"/>
  <c r="I61" i="1"/>
  <c r="F61" i="1"/>
  <c r="E61" i="1"/>
  <c r="I60" i="1"/>
  <c r="E60" i="1"/>
  <c r="F60" i="1" s="1"/>
  <c r="I59" i="1"/>
  <c r="F59" i="1"/>
  <c r="E59" i="1"/>
  <c r="I58" i="1"/>
  <c r="E58" i="1"/>
  <c r="F58" i="1" s="1"/>
  <c r="I57" i="1"/>
  <c r="E57" i="1"/>
  <c r="F57" i="1" s="1"/>
  <c r="I56" i="1"/>
  <c r="E56" i="1"/>
  <c r="F56" i="1" s="1"/>
  <c r="I55" i="1"/>
  <c r="E55" i="1"/>
  <c r="F55" i="1" s="1"/>
  <c r="I54" i="1"/>
  <c r="E54" i="1"/>
  <c r="F54" i="1" s="1"/>
  <c r="I53" i="1"/>
  <c r="F53" i="1"/>
  <c r="E53" i="1"/>
  <c r="I52" i="1"/>
  <c r="F52" i="1"/>
  <c r="E52" i="1"/>
  <c r="I51" i="1"/>
  <c r="E51" i="1"/>
  <c r="F51" i="1" s="1"/>
  <c r="I50" i="1"/>
  <c r="E50" i="1"/>
  <c r="F50" i="1" s="1"/>
  <c r="I49" i="1"/>
  <c r="E49" i="1"/>
  <c r="F49" i="1" s="1"/>
  <c r="I48" i="1"/>
  <c r="E48" i="1"/>
  <c r="F48" i="1" s="1"/>
  <c r="I47" i="1"/>
  <c r="E47" i="1"/>
  <c r="F47" i="1" s="1"/>
  <c r="I46" i="1"/>
  <c r="E46" i="1"/>
  <c r="F46" i="1" s="1"/>
  <c r="I45" i="1"/>
  <c r="E45" i="1"/>
  <c r="F45" i="1" s="1"/>
  <c r="I44" i="1"/>
  <c r="E44" i="1"/>
  <c r="F44" i="1" s="1"/>
  <c r="I43" i="1"/>
  <c r="E43" i="1"/>
  <c r="F43" i="1" s="1"/>
  <c r="I42" i="1"/>
  <c r="E42" i="1"/>
  <c r="F42" i="1" s="1"/>
  <c r="I41" i="1"/>
  <c r="E41" i="1"/>
  <c r="F41" i="1" s="1"/>
  <c r="I40" i="1"/>
  <c r="E40" i="1"/>
  <c r="F40" i="1" s="1"/>
  <c r="I39" i="1"/>
  <c r="I38" i="1"/>
  <c r="I37" i="1"/>
  <c r="I36" i="1"/>
  <c r="I35" i="1"/>
  <c r="I34" i="1"/>
  <c r="I33" i="1"/>
  <c r="I32" i="1"/>
  <c r="I31" i="1"/>
  <c r="I30" i="1"/>
  <c r="E30" i="1"/>
  <c r="F30" i="1" s="1"/>
  <c r="I29" i="1"/>
  <c r="E29" i="1"/>
  <c r="F29" i="1" s="1"/>
  <c r="I28" i="1"/>
  <c r="I27" i="1"/>
  <c r="E27" i="1"/>
  <c r="F27" i="1" s="1"/>
  <c r="I26" i="1"/>
  <c r="E26" i="1"/>
  <c r="F26" i="1" s="1"/>
  <c r="I25" i="1"/>
  <c r="E25" i="1"/>
  <c r="F25" i="1" s="1"/>
  <c r="I24" i="1"/>
  <c r="I23" i="1"/>
  <c r="I22" i="1"/>
  <c r="I21" i="1"/>
  <c r="E21" i="1"/>
  <c r="F21" i="1" s="1"/>
  <c r="I20" i="1"/>
  <c r="I19" i="1"/>
  <c r="E19" i="1"/>
  <c r="F19" i="1" s="1"/>
  <c r="I18" i="1"/>
  <c r="E18" i="1"/>
  <c r="F18" i="1" s="1"/>
  <c r="I17" i="1"/>
  <c r="E17" i="1"/>
  <c r="F17" i="1" s="1"/>
  <c r="I16" i="1"/>
  <c r="I15" i="1"/>
  <c r="I14" i="1"/>
  <c r="E14" i="1"/>
  <c r="F14" i="1" s="1"/>
  <c r="I13" i="1"/>
  <c r="C5" i="3" s="1"/>
  <c r="E13" i="1"/>
  <c r="F13" i="1" s="1"/>
  <c r="I12" i="1"/>
  <c r="E12" i="1"/>
  <c r="F12" i="1" s="1"/>
  <c r="I11" i="1"/>
  <c r="F11" i="1"/>
  <c r="E11" i="1"/>
  <c r="I10" i="1"/>
  <c r="E10" i="1"/>
  <c r="F10" i="1" s="1"/>
  <c r="I9" i="1"/>
  <c r="E9" i="1"/>
  <c r="F9" i="1" s="1"/>
  <c r="I8" i="1"/>
  <c r="E8" i="1"/>
  <c r="F8" i="1" s="1"/>
  <c r="I7" i="1"/>
  <c r="E7" i="1"/>
  <c r="F7" i="1" s="1"/>
  <c r="I6" i="1"/>
  <c r="C7" i="3" s="1"/>
  <c r="E6" i="1"/>
  <c r="F6" i="1" s="1"/>
  <c r="I5" i="1"/>
  <c r="E5" i="1"/>
  <c r="F5" i="1" s="1"/>
  <c r="I4" i="1"/>
  <c r="E4" i="1"/>
  <c r="F4" i="1" s="1"/>
  <c r="I3" i="1"/>
  <c r="E3" i="1"/>
  <c r="F3" i="1" s="1"/>
  <c r="I2" i="1"/>
  <c r="E2" i="1"/>
  <c r="F2" i="1" s="1"/>
  <c r="C2" i="3" l="1"/>
  <c r="C3" i="3"/>
  <c r="B10" i="4"/>
  <c r="B3" i="4"/>
  <c r="B11" i="4"/>
  <c r="B12" i="4"/>
  <c r="B5" i="4"/>
  <c r="B13" i="4"/>
  <c r="B6" i="4"/>
  <c r="B7" i="4"/>
  <c r="B8" i="4"/>
  <c r="B4" i="4"/>
  <c r="B9" i="4"/>
  <c r="B2" i="4"/>
  <c r="C4" i="3"/>
  <c r="B2" i="2"/>
  <c r="B5" i="2"/>
  <c r="B4" i="2"/>
  <c r="B3" i="2"/>
</calcChain>
</file>

<file path=xl/sharedStrings.xml><?xml version="1.0" encoding="utf-8"?>
<sst xmlns="http://schemas.openxmlformats.org/spreadsheetml/2006/main" count="2157" uniqueCount="351">
  <si>
    <t>Client Email</t>
  </si>
  <si>
    <t>Product</t>
  </si>
  <si>
    <t>Plan</t>
  </si>
  <si>
    <t>Start Date</t>
  </si>
  <si>
    <t>Expiry Date</t>
  </si>
  <si>
    <t>Days Left</t>
  </si>
  <si>
    <t>Cost Price</t>
  </si>
  <si>
    <t>Selling Price</t>
  </si>
  <si>
    <t>Profit</t>
  </si>
  <si>
    <t>Payment Status</t>
  </si>
  <si>
    <t>Payment Date</t>
  </si>
  <si>
    <t>Renewal Status</t>
  </si>
  <si>
    <t>Account Type</t>
  </si>
  <si>
    <t>Payment Method</t>
  </si>
  <si>
    <t>Notes</t>
  </si>
  <si>
    <t>Days</t>
  </si>
  <si>
    <t>1 Month</t>
  </si>
  <si>
    <t>2 Months</t>
  </si>
  <si>
    <t>3 Months</t>
  </si>
  <si>
    <t>6 Months</t>
  </si>
  <si>
    <t>1 Year</t>
  </si>
  <si>
    <t>TOTAL REVENUE</t>
  </si>
  <si>
    <t>TOTAL PROFIT</t>
  </si>
  <si>
    <t>ACTIVE SUBSCRIPTIONS</t>
  </si>
  <si>
    <t>EXPIRING ≤4 DAYS</t>
  </si>
  <si>
    <t>EXPIRED</t>
  </si>
  <si>
    <t>PENDING PAYMENTS</t>
  </si>
  <si>
    <t>Total Sales</t>
  </si>
  <si>
    <t>Total Profit</t>
  </si>
  <si>
    <t>Netflix</t>
  </si>
  <si>
    <t>VPN</t>
  </si>
  <si>
    <t>ChatGPT</t>
  </si>
  <si>
    <t>IPTV</t>
  </si>
  <si>
    <t>Spotify</t>
  </si>
  <si>
    <t>Canva</t>
  </si>
  <si>
    <t>Apple One</t>
  </si>
  <si>
    <t>Month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</si>
  <si>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</si>
  <si>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</si>
  <si>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</si>
  <si>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</si>
  <si>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</si>
  <si>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</si>
  <si>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</si>
  <si>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</si>
  <si>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</si>
  <si>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</si>
  <si>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</si>
  <si>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</si>
  <si>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</si>
  <si>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arzhang.china7@outlook.com</t>
  </si>
  <si>
    <t xml:space="preserve">yooolozin@gmail.com </t>
  </si>
  <si>
    <t>8216me@gmail.com</t>
  </si>
  <si>
    <t>Aymane.chergui.aymanox@gmail.com</t>
  </si>
  <si>
    <t>Hassanagoujgal72@gmail.com</t>
  </si>
  <si>
    <t>pbqepyv99@outlook.com</t>
  </si>
  <si>
    <t>klvcxsm620@outlook.com</t>
  </si>
  <si>
    <t>mazforge01@gmail.com</t>
  </si>
  <si>
    <t>Artemvolodaskiss@icloud.com</t>
  </si>
  <si>
    <t>driss.1427@gmail.com</t>
  </si>
  <si>
    <t>Kostyaanna@gmail.com</t>
  </si>
  <si>
    <t>radzapovakarina020@gmail.com</t>
  </si>
  <si>
    <t xml:space="preserve">badr400000@gmail.com </t>
  </si>
  <si>
    <t>amponsahrichard49@gmail.com</t>
  </si>
  <si>
    <t>ghalebsaleh221@gmail.com</t>
  </si>
  <si>
    <t>elmounchitwiame@gmail.com</t>
  </si>
  <si>
    <t xml:space="preserve"> M.sufyan.bjut@gmail.com</t>
  </si>
  <si>
    <t>joud.hani08@gmail.com</t>
  </si>
  <si>
    <t>bakrazaroual@icloud.com</t>
  </si>
  <si>
    <t xml:space="preserve">wassim.sania19@gmail.com </t>
  </si>
  <si>
    <t xml:space="preserve"> fatohe.27@gmail.com</t>
  </si>
  <si>
    <t>engr.mustafatahir@gmail.com</t>
  </si>
  <si>
    <t>mounib.bouabid2012@gmail.com</t>
  </si>
  <si>
    <t>etudescn1@gmail.com</t>
  </si>
  <si>
    <t>rachahaziz2@gmail.com</t>
  </si>
  <si>
    <t>chamunokara70@gmail.com</t>
  </si>
  <si>
    <t>Sakinemouha@gmail.com</t>
  </si>
  <si>
    <t>bibekbamanu1@gmail.com</t>
  </si>
  <si>
    <t>hindelkarrichi@gmail.com</t>
  </si>
  <si>
    <t>asikpojessica@gmail.com</t>
  </si>
  <si>
    <t>younglily4real@gmail.com</t>
  </si>
  <si>
    <t>4u4me77@gmail.com</t>
  </si>
  <si>
    <t>buehsamuel81@gmail.com</t>
  </si>
  <si>
    <t>Bendalhsaadeddine001@gmail.com</t>
  </si>
  <si>
    <t>usama.crlm10@gmail.com</t>
  </si>
  <si>
    <t>chatgpt</t>
  </si>
  <si>
    <t>canva</t>
  </si>
  <si>
    <t>perplexity ai</t>
  </si>
  <si>
    <t>NETFLIX</t>
  </si>
  <si>
    <t>Paid</t>
  </si>
  <si>
    <t>Pending</t>
  </si>
  <si>
    <t>Renewed</t>
  </si>
  <si>
    <t>Private</t>
  </si>
  <si>
    <t>Shared</t>
  </si>
  <si>
    <t>WeChat</t>
  </si>
  <si>
    <t>yassminayassmina759@gmail.com</t>
  </si>
  <si>
    <t>a.h.binothman88@gmail.com</t>
  </si>
  <si>
    <t>yassine.flto12@gmail.com</t>
  </si>
  <si>
    <t>lakssirwalid@gmail.com</t>
  </si>
  <si>
    <t>kkzahia@gmail.com</t>
  </si>
  <si>
    <t>izmalkova518@gmail.com</t>
  </si>
  <si>
    <t>vitaliiuchunzhan@gmail.com</t>
  </si>
  <si>
    <t>elyassaamohamed43@gmail.com</t>
  </si>
  <si>
    <t>Malikahou12@gmail.com</t>
  </si>
  <si>
    <t>Vieadam007@gmail.com</t>
  </si>
  <si>
    <t>akid.imanne@gmail.com</t>
  </si>
  <si>
    <t>mekontchousteve059@gmail.com</t>
  </si>
  <si>
    <t>anup100653@gmail.com</t>
  </si>
  <si>
    <t>marwane.rako@gmail.com</t>
  </si>
  <si>
    <t>mohamedzouad1974@gmail.com</t>
  </si>
  <si>
    <t>nourddintaibi26@gmail.com</t>
  </si>
  <si>
    <t xml:space="preserve">Richardjun237@gmail.com </t>
  </si>
  <si>
    <t>antoindavilav1143391@outlook.com</t>
  </si>
  <si>
    <t>fatichina33@gmail.com</t>
  </si>
  <si>
    <t>zeerajie@gmail.com</t>
  </si>
  <si>
    <t xml:space="preserve">xinketechina@gmail.com </t>
  </si>
  <si>
    <t>afdsaeschorrv1158607@outlook.com</t>
  </si>
  <si>
    <t>portiamctiziceh546056@outlook.com</t>
  </si>
  <si>
    <t>06o22m08a56r07@gmail.com</t>
  </si>
  <si>
    <t>jackchina4286@gmail.com</t>
  </si>
  <si>
    <t>baggar12baggar@gmail.com</t>
  </si>
  <si>
    <t>ilyasoussaid6@gmail.com</t>
  </si>
  <si>
    <t>Reey-abido@hotmail.com</t>
  </si>
  <si>
    <t>aitzinebnisrine009@gmail.com</t>
  </si>
  <si>
    <t xml:space="preserve">HaroonAzhar6024@gmail.com </t>
  </si>
  <si>
    <t>ayaracha608@gmail.com</t>
  </si>
  <si>
    <t>Prosperchihi07@gmail.com</t>
  </si>
  <si>
    <t>m.rehmanafridi789@gmail.com</t>
  </si>
  <si>
    <t>fadabauchidass@gmail.com</t>
  </si>
  <si>
    <t>marlonmawaka7@gmail.com</t>
  </si>
  <si>
    <t xml:space="preserve">yanzhik168@icloud.com </t>
  </si>
  <si>
    <t>Richardjun237@gmail.com</t>
  </si>
  <si>
    <t>ine86124@gmail.com</t>
  </si>
  <si>
    <t>ebukaekweozor2003@gmail.com</t>
  </si>
  <si>
    <t>sanirvana999@gmail.com</t>
  </si>
  <si>
    <t>study_gpt@hotmail.com</t>
  </si>
  <si>
    <t xml:space="preserve">raniabezzar36@gmail.com </t>
  </si>
  <si>
    <t>Hrafgharbaoui@gmail.com</t>
  </si>
  <si>
    <t>williemaeganonv115552@outlook.com</t>
  </si>
  <si>
    <t>benmaghafatimaezahra@gmail.com</t>
  </si>
  <si>
    <t>alizpcmsiesta1@gmail.com</t>
  </si>
  <si>
    <t>omarisiham00@gmail.com</t>
  </si>
  <si>
    <t>hind98kassimi@gmail.com</t>
  </si>
  <si>
    <t>Khalidsb499@gmail.com</t>
  </si>
  <si>
    <t>ihsanbrioi86@gmail.com</t>
  </si>
  <si>
    <t>S0746529@gmail.com</t>
  </si>
  <si>
    <t>sihamswork@gmail.com</t>
  </si>
  <si>
    <t>chahtanihanan2004@gmail.com</t>
  </si>
  <si>
    <t>vanianeriah@gmail.com</t>
  </si>
  <si>
    <t>Ybnt488@gmail.com</t>
  </si>
  <si>
    <t>Skbigman930@gmail.com</t>
  </si>
  <si>
    <t>hlabezf@gmail.com</t>
  </si>
  <si>
    <t xml:space="preserve">Chrismug84@gmail.com </t>
  </si>
  <si>
    <t>essafouihiba@gmail.com</t>
  </si>
  <si>
    <t>sokayna2019mazouz@gmail.com</t>
  </si>
  <si>
    <t>bfandi18@gmail.com</t>
  </si>
  <si>
    <t xml:space="preserve">elarganeb@gmail.come </t>
  </si>
  <si>
    <t>adamghazali779@gmail.com</t>
  </si>
  <si>
    <t>bayramkerim97@gmail.com</t>
  </si>
  <si>
    <t>cihantopal@hotmail.com</t>
  </si>
  <si>
    <t>Almounir.group.ma@gmail.com</t>
  </si>
  <si>
    <t xml:space="preserve"> fahdsabah@gmail.com</t>
  </si>
  <si>
    <t>Hafidmoumade@gmail.com</t>
  </si>
  <si>
    <t>mouniachadlia7@gmail.com</t>
  </si>
  <si>
    <t>Ygafurro2005@gmail.com</t>
  </si>
  <si>
    <t>sarabelbassri@gmail.com</t>
  </si>
  <si>
    <t>Mohmadsabir00@gmail.com</t>
  </si>
  <si>
    <t>gemini</t>
  </si>
  <si>
    <t>engrmuhammadwaqas88@gmail.com</t>
  </si>
  <si>
    <t>raissidoaa@gmail.com</t>
  </si>
  <si>
    <t>nisgoran@gmail.com</t>
  </si>
  <si>
    <t>alexlusambya58@gmail.com</t>
  </si>
  <si>
    <t>aybekmamurow@gmail.com</t>
  </si>
  <si>
    <t>Oussamasami872@gmail.com</t>
  </si>
  <si>
    <t>artiquo381@gmail.com</t>
  </si>
  <si>
    <t>samreenarasheed39@gmail.com</t>
  </si>
  <si>
    <t>derraouihamza1@gmail.com</t>
  </si>
  <si>
    <t>gemini+chatgpt</t>
  </si>
  <si>
    <t>milimarley70@gmail.com</t>
  </si>
  <si>
    <t>Sounayassir24@gmail.com</t>
  </si>
  <si>
    <t>mdzunaed.17@gmail.com</t>
  </si>
  <si>
    <t>john.ibdp@gmail.com</t>
  </si>
  <si>
    <t>hadiriayman3@gmail.com</t>
  </si>
  <si>
    <t>emadyasser796@gmail.com</t>
  </si>
  <si>
    <t xml:space="preserve">Salmarhazza18@gmail.com </t>
  </si>
  <si>
    <t xml:space="preserve">Kaoutarouggad0689@gmail.com </t>
  </si>
  <si>
    <t>maltofi2024@gmail.com</t>
  </si>
  <si>
    <t>krsalim03@gmail.com</t>
  </si>
  <si>
    <t xml:space="preserve">Nicolascharbel97@gmail.com </t>
  </si>
  <si>
    <t xml:space="preserve">ihssanserroukh12@gmail.com </t>
  </si>
  <si>
    <t>Nisrineatlagh@gmail.com</t>
  </si>
  <si>
    <t>musarat.hussain121@gmail.com</t>
  </si>
  <si>
    <t>haqberdievfaridun2002@gmail.com</t>
  </si>
  <si>
    <t>athar@nextlvlstore.shop</t>
  </si>
  <si>
    <t>M.sufyan.bjut@gmail.com</t>
  </si>
  <si>
    <t>eng.hus_hus@hotmail.com</t>
  </si>
  <si>
    <t>reguignajlaa3@gmail.com</t>
  </si>
  <si>
    <t>WECHAT ID = yassir_issou</t>
  </si>
  <si>
    <t>CANCELED</t>
  </si>
  <si>
    <t xml:space="preserve">imanemef0103@gmail.com </t>
  </si>
  <si>
    <t>xiangfenzju3762@gmail.com</t>
  </si>
  <si>
    <t>asmaakharraz75@gmail.com</t>
  </si>
  <si>
    <t>bouhawiame@gmail.com</t>
  </si>
  <si>
    <t>fatimazohrachlaita@gmail.com</t>
  </si>
  <si>
    <t xml:space="preserve">sbatal80@gmail.com </t>
  </si>
  <si>
    <t>mariahharlleed4mb7162@outlook.com</t>
  </si>
  <si>
    <t>Djwajid60@gmail.com</t>
  </si>
  <si>
    <t>jihanechiaar9@gmail.com</t>
  </si>
  <si>
    <t>Elkhanchoufiamine9@gmail.com</t>
  </si>
  <si>
    <t>edrispasarlay1@gmail.com</t>
  </si>
  <si>
    <t xml:space="preserve">Ayouyaa473@gmail.com </t>
  </si>
  <si>
    <t>lammissiahmed5@gmail.com</t>
  </si>
  <si>
    <t>husawafa@gmail.com</t>
  </si>
  <si>
    <t>marcussepo1998@gmail.com</t>
  </si>
  <si>
    <t>anajjardouaa@gmail.com</t>
  </si>
  <si>
    <t>patient.mah@gmail.com</t>
  </si>
  <si>
    <t>Mkisserabab15@gmail.com</t>
  </si>
  <si>
    <t>mohammedjaban6@gmail.com</t>
  </si>
  <si>
    <t>bouabid153.live@gmail.com</t>
  </si>
  <si>
    <t>chaabimohamed995@gmail.com</t>
  </si>
  <si>
    <t>waheed.seu6077@gmail.com</t>
  </si>
  <si>
    <t>shehzad.stu@gmail.com</t>
  </si>
  <si>
    <t>wiammeslahi@gmail.com</t>
  </si>
  <si>
    <t xml:space="preserve">ayamadlom4@gmail.com </t>
  </si>
  <si>
    <t>nimanourizadeh80@gmail.com</t>
  </si>
  <si>
    <t>alaswadihamza7@gmail.com</t>
  </si>
  <si>
    <t>annashiigsade@gmail.com</t>
  </si>
  <si>
    <t>wiammeslaahii@gmail.com</t>
  </si>
  <si>
    <t>ali12elhilali@gmail.com</t>
  </si>
  <si>
    <t>chantel.vandermerwe@icloud.com</t>
  </si>
  <si>
    <t>michaelsheshe29@gmail.com</t>
  </si>
  <si>
    <t>amrahhanane8@gmail.com</t>
  </si>
  <si>
    <t>betiimes@gmail.com</t>
  </si>
  <si>
    <t xml:space="preserve">engrafaq8373@gmail.com </t>
  </si>
  <si>
    <t>ettrachlimaissame@gmail.com</t>
  </si>
  <si>
    <t>mansoormajad@gmail.com</t>
  </si>
  <si>
    <t>hossamgpts@gmail.com</t>
  </si>
  <si>
    <t>sohzelbaalia@gmail.com</t>
  </si>
  <si>
    <t>Yousofalkhateeb05@gmailcom</t>
  </si>
  <si>
    <t>sevinchaysha@gmail.com</t>
  </si>
  <si>
    <t>Jackchhabria@gmail.com</t>
  </si>
  <si>
    <t>Chaimaahalifi@gmail.com</t>
  </si>
  <si>
    <t>Naciriabdellah177@gmail.com</t>
  </si>
  <si>
    <t>chaimaarekkas@gmail.com</t>
  </si>
  <si>
    <t>marouaghanam3@gmail.com</t>
  </si>
  <si>
    <t>n8zytxz7jy@privaterelay.appleid.com</t>
  </si>
  <si>
    <t>mateenbaba.mateen@gmail.com</t>
  </si>
  <si>
    <t>lingcheng9709@gmail.com</t>
  </si>
  <si>
    <t>genievailfort@qq.com</t>
  </si>
  <si>
    <t xml:space="preserve">mouadmakhrobi71@gmail.com </t>
  </si>
  <si>
    <t>kumahc4all@yahoo.com</t>
  </si>
  <si>
    <t xml:space="preserve">saifeddinemouti@gmail.com </t>
  </si>
  <si>
    <t>mouniafadlallah3@gmail.com</t>
  </si>
  <si>
    <t>arciinaive19@gmail.com</t>
  </si>
  <si>
    <t>manyangacollin47@gmail.com</t>
  </si>
  <si>
    <t xml:space="preserve">Smayno05@gmail.com </t>
  </si>
  <si>
    <t>engrafaq8373@gmail.com</t>
  </si>
  <si>
    <t>mohammedalmoqbeli@gmail.com</t>
  </si>
  <si>
    <t>elikhlass0@gmail.com</t>
  </si>
  <si>
    <t>Hanaemouhdi97@gmail.com</t>
  </si>
  <si>
    <t>itsmeadam70@gmail.com</t>
  </si>
  <si>
    <t>rgsrepoos@gmail.com</t>
  </si>
  <si>
    <t>boutbachertbadr@gmail.com</t>
  </si>
  <si>
    <t>umairnazir701@gmail.com</t>
  </si>
  <si>
    <t>genovevamayorondo@gmail.com</t>
  </si>
  <si>
    <t>diraribtissame@gmail.com</t>
  </si>
  <si>
    <t>rihanianass0@gmail.com</t>
  </si>
  <si>
    <t>get.awulachew@gmail.com</t>
  </si>
  <si>
    <t xml:space="preserve">nouhailabardane@gmail.com </t>
  </si>
  <si>
    <t>mukeyinae@gmail.com</t>
  </si>
  <si>
    <t>Mohamedsdr05@gmail.com</t>
  </si>
  <si>
    <t xml:space="preserve">mmqs2030@gmail.com </t>
  </si>
  <si>
    <t xml:space="preserve">Bouchraalabkari9@gmail.com </t>
  </si>
  <si>
    <t>52vzr7wyjm@privaterelay.appleid.com</t>
  </si>
  <si>
    <t xml:space="preserve">ritasolarenergy2@gmail.com </t>
  </si>
  <si>
    <t>Thedivinemoonbeam@gmail.com</t>
  </si>
  <si>
    <t>fezzahrae424@gmail.com</t>
  </si>
  <si>
    <t>malkbdhalwhbany@gmail.com</t>
  </si>
  <si>
    <t>bilaloalnoorzee@gmail.com</t>
  </si>
  <si>
    <t>hareerbahar5@gmail.com</t>
  </si>
  <si>
    <t>zahanmeghla01@gmail.com</t>
  </si>
  <si>
    <t>aboodabonasran22@gmail.com</t>
  </si>
  <si>
    <t>Ibtissamjabir7@gmail.com</t>
  </si>
  <si>
    <t>givenk940@gmail.com</t>
  </si>
  <si>
    <t>bdalmjyda530@gmail.com</t>
  </si>
  <si>
    <t>jeedma68@gmail.com</t>
  </si>
  <si>
    <t>Shabntaljrah@gmail.com</t>
  </si>
  <si>
    <t>ask8er6@gmail.com</t>
  </si>
  <si>
    <t>zaidonltmemy@gmail.com</t>
  </si>
  <si>
    <t>mohammedrabah420@gmail.com</t>
  </si>
  <si>
    <t>khaoulasaidielhassani91@gmail.com</t>
  </si>
  <si>
    <t xml:space="preserve">Douaeelyazidy@gmail.com </t>
  </si>
  <si>
    <t>shohibulislam432@gmail.com</t>
  </si>
  <si>
    <t>khadijamaulid28@gmail.com</t>
  </si>
  <si>
    <t>tekletsadik2424@gmail.com</t>
  </si>
  <si>
    <t>palvankakayev7@gmail.com</t>
  </si>
  <si>
    <t>kewseribrahim1@gmail.com</t>
  </si>
  <si>
    <t>hajarsnani42@gmail.com</t>
  </si>
  <si>
    <t>alaskanderabdulaziam@gmail.com</t>
  </si>
  <si>
    <t>Jennierose20066@gmail.com</t>
  </si>
  <si>
    <t>hajaribnourrahil3@gmail.com</t>
  </si>
  <si>
    <t>walidbarkani72@gmail.com</t>
  </si>
  <si>
    <t>Kaoutarhmaimou01@gmail.com</t>
  </si>
  <si>
    <t>alqutami.sales@gmail.com</t>
  </si>
  <si>
    <t>asadullah36778@gmail.com</t>
  </si>
  <si>
    <t>birukalemayehu542@gmail.com</t>
  </si>
  <si>
    <t>abdoulexpot@gmail.com</t>
  </si>
  <si>
    <t>Zeddoafi1@gmail.com</t>
  </si>
  <si>
    <t>nagm26ng@gmail.com</t>
  </si>
  <si>
    <t>alsaqqaf200@gmail.com</t>
  </si>
  <si>
    <t>chatgpt+gemini</t>
  </si>
  <si>
    <t>fifihanime02@gmail.com</t>
  </si>
  <si>
    <t>douae2004beggar@gmail.com</t>
  </si>
  <si>
    <t xml:space="preserve">Maitre.steve@gmail.com </t>
  </si>
  <si>
    <t>Tarikrkioua98@gmail.com</t>
  </si>
  <si>
    <t xml:space="preserve">mggg7132@gmail.com </t>
  </si>
  <si>
    <t>arnobkhan76@gmail.com</t>
  </si>
  <si>
    <t>Moncifaitkorchi2006@gmail.com</t>
  </si>
  <si>
    <t>nyarytatira@gmail.com</t>
  </si>
  <si>
    <t xml:space="preserve">mtajdin723@gmail.com </t>
  </si>
  <si>
    <t>Himimarouane24@gmail.com</t>
  </si>
  <si>
    <t>spotify</t>
  </si>
  <si>
    <t xml:space="preserve">Safaachar183@gmail.com </t>
  </si>
  <si>
    <t>noraghanam399@gmail.com</t>
  </si>
  <si>
    <t>mutombodido@icloud.com</t>
  </si>
  <si>
    <t>soukainaelblghiti@gmail.com</t>
  </si>
  <si>
    <t>orakelconsultofficial@gmail.com</t>
  </si>
  <si>
    <t xml:space="preserve">Thedivinemoonbeam@gmail.com </t>
  </si>
  <si>
    <t>Kaoutharbouftah@gmail.com</t>
  </si>
  <si>
    <t>belhadiyoussef64@gmail.com</t>
  </si>
  <si>
    <t>moredaelmansouri4@gmail.com</t>
  </si>
  <si>
    <t>vcxx5wn47p@privaterelay.appleid.com</t>
  </si>
  <si>
    <t>bachiraziz17@gmail.com</t>
  </si>
  <si>
    <t>jesica.leonardi31@gmail.com</t>
  </si>
  <si>
    <t>syler1337@gmail.com</t>
  </si>
  <si>
    <t>Yousrabouabid07@gmail.com</t>
  </si>
  <si>
    <t>Wissaladdiya59@oxeranet.online</t>
  </si>
  <si>
    <t>arasbn7@gmail.com</t>
  </si>
  <si>
    <t>Imtishahid@gmail.com</t>
  </si>
  <si>
    <t>Abdazizebelgharde138@gmail.com</t>
  </si>
  <si>
    <t xml:space="preserve">ayabayyar1@gmail.com </t>
  </si>
  <si>
    <t>Uk.badrouyahya@gmail.com</t>
  </si>
  <si>
    <t>fahim.ullah@yahoo.com</t>
  </si>
  <si>
    <t>mayflower.78@mail.ru</t>
  </si>
  <si>
    <t>Syedsafia2023@gmail.com</t>
  </si>
  <si>
    <t>aicha16012004@gmail.com</t>
  </si>
  <si>
    <t>vpn</t>
  </si>
  <si>
    <t>Zinobaelatmani@gmail.com</t>
  </si>
  <si>
    <t>Kamarsamkhi@gmail.com</t>
  </si>
  <si>
    <t>amarhihasnaa7@gmail.com</t>
  </si>
  <si>
    <t>Mouadbenhayoun71@gmail.com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</si>
</sst>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Menlo"/>
    </font>
    <font>
      <sz val="11"/>
      <color rgb="FF5D5D5D"/>
      <name val="Segoe UI"/>
      <family val="2"/>
    </font>
    <font>
      <b/>
      <sz val="11"/>
      <color theme="1"/>
      <name val="Calibri"/>
      <family val="2"/>
      <scheme val="minor"/>
    </font>
    <font>
      <sz val="12"/>
      <color rgb="FF0D0D0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D2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8E8E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1"/>
    <xf numFmtId="0" fontId="3" fillId="2" borderId="1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14" fontId="0" fillId="0" borderId="0" xfId="0" applyNumberFormat="1"/>
    <xf numFmtId="0" fontId="3" fillId="3" borderId="1" xfId="0" applyFont="1" applyFill="1" applyBorder="1" applyAlignment="1">
      <alignment horizontal="left" vertical="center" wrapText="1" indent="1"/>
    </xf>
    <xf numFmtId="14" fontId="0" fillId="0" borderId="0" xfId="0" applyNumberFormat="1" applyBorder="1"/>
    <xf numFmtId="0" fontId="6" fillId="2" borderId="0" xfId="0" applyFont="1" applyFill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2" fillId="0" borderId="0" xfId="1" applyFill="1" applyBorder="1"/>
    <xf numFmtId="0" fontId="2" fillId="2" borderId="1" xfId="1" applyFill="1" applyBorder="1" applyAlignment="1">
      <alignment horizontal="left" vertical="center" wrapText="1" indent="1"/>
    </xf>
  </cellXfs>
  <cellStyles count="2">
    <cellStyle name="Lien hypertexte" xfId="1" builtinId="8"/>
    <cellStyle name="Normal" xfId="0" builtinId="0"/>
  </cellStyles>
  <dxfs count="900"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DECEA"/>
          <bgColor rgb="FFFDECEA"/>
        </patternFill>
      </fill>
    </dxf>
    <dxf>
      <fill>
        <patternFill patternType="solid">
          <fgColor rgb="FFFFFDE7"/>
          <bgColor rgb="FFFFFDE7"/>
        </patternFill>
      </fill>
    </dxf>
    <dxf>
      <fill>
        <patternFill patternType="solid">
          <fgColor rgb="FFE8F5E9"/>
          <b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Profit Per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'Product Analytics'!$C$1</c:f>
              <c:strCache>
                <c:ptCount val="1"/>
                <c:pt idx="0">
                  <c:v>Total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 Analytics'!$A$2:$A$8</c:f>
              <c:strCache>
                <c:ptCount val="7"/>
                <c:pt idx="0">
                  <c:v>Netflix</c:v>
                </c:pt>
                <c:pt idx="1">
                  <c:v>VPN</c:v>
                </c:pt>
                <c:pt idx="2">
                  <c:v>ChatGPT</c:v>
                </c:pt>
                <c:pt idx="3">
                  <c:v>IPTV</c:v>
                </c:pt>
                <c:pt idx="4">
                  <c:v>Spotify</c:v>
                </c:pt>
                <c:pt idx="5">
                  <c:v>Canva</c:v>
                </c:pt>
                <c:pt idx="6">
                  <c:v>Apple One</c:v>
                </c:pt>
              </c:strCache>
            </c:strRef>
          </c:cat>
          <c:val>
            <c:numRef>
              <c:f>'Product Analytics'!$C$2:$C$8</c:f>
              <c:numCache>
                <c:formatCode>General</c:formatCode>
                <c:ptCount val="7"/>
                <c:pt idx="0">
                  <c:v>101</c:v>
                </c:pt>
                <c:pt idx="1">
                  <c:v>577</c:v>
                </c:pt>
                <c:pt idx="2">
                  <c:v>8965</c:v>
                </c:pt>
                <c:pt idx="3">
                  <c:v>130</c:v>
                </c:pt>
                <c:pt idx="4">
                  <c:v>160</c:v>
                </c:pt>
                <c:pt idx="5">
                  <c:v>165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A-43A2-BC02-F63A29C44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57796296296295"/>
          <c:y val="3.2968148148148149E-2"/>
          <c:w val="0.14031092592592592"/>
          <c:h val="0.88702629629629626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lkhanchoufiamine9@gmail.com" TargetMode="External"/><Relationship Id="rId18" Type="http://schemas.openxmlformats.org/officeDocument/2006/relationships/hyperlink" Target="mailto:diraribtissame@gmail.com" TargetMode="External"/><Relationship Id="rId26" Type="http://schemas.openxmlformats.org/officeDocument/2006/relationships/hyperlink" Target="mailto:mohammedrabah420@gmail.com" TargetMode="External"/><Relationship Id="rId39" Type="http://schemas.openxmlformats.org/officeDocument/2006/relationships/hyperlink" Target="mailto:Sakinemouha@gmail.com" TargetMode="External"/><Relationship Id="rId21" Type="http://schemas.openxmlformats.org/officeDocument/2006/relationships/hyperlink" Target="mailto:hajarsnani42@gmail.com" TargetMode="External"/><Relationship Id="rId34" Type="http://schemas.openxmlformats.org/officeDocument/2006/relationships/hyperlink" Target="mailto:8216me@gmail.com" TargetMode="External"/><Relationship Id="rId42" Type="http://schemas.openxmlformats.org/officeDocument/2006/relationships/hyperlink" Target="mailto:arasbn7@gmail.com" TargetMode="External"/><Relationship Id="rId47" Type="http://schemas.openxmlformats.org/officeDocument/2006/relationships/hyperlink" Target="mailto:Thedivinemoonbeam@gmail.com" TargetMode="External"/><Relationship Id="rId50" Type="http://schemas.openxmlformats.org/officeDocument/2006/relationships/hyperlink" Target="mailto:jesica.leonardi31@gmail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williemaeganonv115552@outlook.com" TargetMode="External"/><Relationship Id="rId2" Type="http://schemas.openxmlformats.org/officeDocument/2006/relationships/hyperlink" Target="mailto:badr400000@gmail.com" TargetMode="External"/><Relationship Id="rId16" Type="http://schemas.openxmlformats.org/officeDocument/2006/relationships/hyperlink" Target="mailto:sohzelbaalia@gmail.com" TargetMode="External"/><Relationship Id="rId29" Type="http://schemas.openxmlformats.org/officeDocument/2006/relationships/hyperlink" Target="mailto:walidbarkani72@gmail.com" TargetMode="External"/><Relationship Id="rId11" Type="http://schemas.openxmlformats.org/officeDocument/2006/relationships/hyperlink" Target="mailto:adamghazali779@gmail.com" TargetMode="External"/><Relationship Id="rId24" Type="http://schemas.openxmlformats.org/officeDocument/2006/relationships/hyperlink" Target="mailto:alsaqqaf200@gmail.com" TargetMode="External"/><Relationship Id="rId32" Type="http://schemas.openxmlformats.org/officeDocument/2006/relationships/hyperlink" Target="mailto:yooolozin@gmail.com" TargetMode="External"/><Relationship Id="rId37" Type="http://schemas.openxmlformats.org/officeDocument/2006/relationships/hyperlink" Target="mailto:engr.mustafatahir@gmail.com" TargetMode="External"/><Relationship Id="rId40" Type="http://schemas.openxmlformats.org/officeDocument/2006/relationships/hyperlink" Target="mailto:ghalebsaleh221@gmail.com" TargetMode="External"/><Relationship Id="rId45" Type="http://schemas.openxmlformats.org/officeDocument/2006/relationships/hyperlink" Target="mailto:nyarytatira@gmail.com" TargetMode="External"/><Relationship Id="rId53" Type="http://schemas.openxmlformats.org/officeDocument/2006/relationships/hyperlink" Target="mailto:fahim.ullah@yahoo.com" TargetMode="External"/><Relationship Id="rId5" Type="http://schemas.openxmlformats.org/officeDocument/2006/relationships/hyperlink" Target="mailto:portiamctiziceh546056@outlook.com" TargetMode="External"/><Relationship Id="rId10" Type="http://schemas.openxmlformats.org/officeDocument/2006/relationships/hyperlink" Target="mailto:Nisrineatlagh@gmail.com" TargetMode="External"/><Relationship Id="rId19" Type="http://schemas.openxmlformats.org/officeDocument/2006/relationships/hyperlink" Target="mailto:bilaloalnoorzee@gmail.com" TargetMode="External"/><Relationship Id="rId31" Type="http://schemas.openxmlformats.org/officeDocument/2006/relationships/hyperlink" Target="mailto:douae2004beggar@gmail.com" TargetMode="External"/><Relationship Id="rId44" Type="http://schemas.openxmlformats.org/officeDocument/2006/relationships/hyperlink" Target="mailto:Moncifaitkorchi2006@gmail.com" TargetMode="External"/><Relationship Id="rId52" Type="http://schemas.openxmlformats.org/officeDocument/2006/relationships/hyperlink" Target="mailto:Uk.badrouyahya@gmail.com" TargetMode="External"/><Relationship Id="rId4" Type="http://schemas.openxmlformats.org/officeDocument/2006/relationships/hyperlink" Target="mailto:afdsaeschorrv1158607@outlook.com" TargetMode="External"/><Relationship Id="rId9" Type="http://schemas.openxmlformats.org/officeDocument/2006/relationships/hyperlink" Target="mailto:Nicolascharbel97@gmail.com" TargetMode="External"/><Relationship Id="rId14" Type="http://schemas.openxmlformats.org/officeDocument/2006/relationships/hyperlink" Target="mailto:HaroonAzhar6024@gmail.com" TargetMode="External"/><Relationship Id="rId22" Type="http://schemas.openxmlformats.org/officeDocument/2006/relationships/hyperlink" Target="mailto:alaskanderabdulaziam@gmail.com" TargetMode="External"/><Relationship Id="rId27" Type="http://schemas.openxmlformats.org/officeDocument/2006/relationships/hyperlink" Target="mailto:khadijamaulid28@gmail.com" TargetMode="External"/><Relationship Id="rId30" Type="http://schemas.openxmlformats.org/officeDocument/2006/relationships/hyperlink" Target="mailto:alqutami.sales@gmail.com" TargetMode="External"/><Relationship Id="rId35" Type="http://schemas.openxmlformats.org/officeDocument/2006/relationships/hyperlink" Target="mailto:soukainaelblghiti@gmail.com" TargetMode="External"/><Relationship Id="rId43" Type="http://schemas.openxmlformats.org/officeDocument/2006/relationships/hyperlink" Target="mailto:mekontchousteve059@gmail.com" TargetMode="External"/><Relationship Id="rId48" Type="http://schemas.openxmlformats.org/officeDocument/2006/relationships/hyperlink" Target="mailto:moredaelmansouri4@gmail.com" TargetMode="External"/><Relationship Id="rId8" Type="http://schemas.openxmlformats.org/officeDocument/2006/relationships/hyperlink" Target="mailto:artiquo381@gmail.com" TargetMode="External"/><Relationship Id="rId51" Type="http://schemas.openxmlformats.org/officeDocument/2006/relationships/hyperlink" Target="mailto:syler1337@gmail.com" TargetMode="External"/><Relationship Id="rId3" Type="http://schemas.openxmlformats.org/officeDocument/2006/relationships/hyperlink" Target="mailto:antoindavilav1143391@outlook.com" TargetMode="External"/><Relationship Id="rId12" Type="http://schemas.openxmlformats.org/officeDocument/2006/relationships/hyperlink" Target="mailto:musarat.hussain121@gmail.com" TargetMode="External"/><Relationship Id="rId17" Type="http://schemas.openxmlformats.org/officeDocument/2006/relationships/hyperlink" Target="mailto:genovevamayorondo@gmail.com" TargetMode="External"/><Relationship Id="rId25" Type="http://schemas.openxmlformats.org/officeDocument/2006/relationships/hyperlink" Target="mailto:Naciriabdellah177@gmail.com" TargetMode="External"/><Relationship Id="rId33" Type="http://schemas.openxmlformats.org/officeDocument/2006/relationships/hyperlink" Target="mailto:mggg7132@gmail.com" TargetMode="External"/><Relationship Id="rId38" Type="http://schemas.openxmlformats.org/officeDocument/2006/relationships/hyperlink" Target="mailto:etudescn1@gmail.com" TargetMode="External"/><Relationship Id="rId46" Type="http://schemas.openxmlformats.org/officeDocument/2006/relationships/hyperlink" Target="mailto:mtajdin723@gmail.com" TargetMode="External"/><Relationship Id="rId20" Type="http://schemas.openxmlformats.org/officeDocument/2006/relationships/hyperlink" Target="mailto:kewseribrahim1@gmail.com" TargetMode="External"/><Relationship Id="rId41" Type="http://schemas.openxmlformats.org/officeDocument/2006/relationships/hyperlink" Target="mailto:izmalkova518@gmail.com" TargetMode="External"/><Relationship Id="rId54" Type="http://schemas.openxmlformats.org/officeDocument/2006/relationships/hyperlink" Target="mailto:Moncifaitkorchi2006@gmail.com" TargetMode="External"/><Relationship Id="rId1" Type="http://schemas.openxmlformats.org/officeDocument/2006/relationships/hyperlink" Target="mailto:Artemvolodaskiss@icloud.com" TargetMode="External"/><Relationship Id="rId6" Type="http://schemas.openxmlformats.org/officeDocument/2006/relationships/hyperlink" Target="mailto:xinketechina@gmail.com" TargetMode="External"/><Relationship Id="rId15" Type="http://schemas.openxmlformats.org/officeDocument/2006/relationships/hyperlink" Target="mailto:Oussamasami872@gmail.com" TargetMode="External"/><Relationship Id="rId23" Type="http://schemas.openxmlformats.org/officeDocument/2006/relationships/hyperlink" Target="mailto:Kaoutarhmaimou01@gmail.com" TargetMode="External"/><Relationship Id="rId28" Type="http://schemas.openxmlformats.org/officeDocument/2006/relationships/hyperlink" Target="mailto:palvankakayev7@gmail.com" TargetMode="External"/><Relationship Id="rId36" Type="http://schemas.openxmlformats.org/officeDocument/2006/relationships/hyperlink" Target="mailto:joud.hani08@gmail.com" TargetMode="External"/><Relationship Id="rId49" Type="http://schemas.openxmlformats.org/officeDocument/2006/relationships/hyperlink" Target="mailto:bachiraziz17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topLeftCell="A283" zoomScale="70" zoomScaleNormal="70" workbookViewId="0">
      <selection activeCell="J302" sqref="J302"/>
    </sheetView>
  </sheetViews>
  <sheetFormatPr baseColWidth="10" defaultColWidth="9.140625" defaultRowHeight="15" x14ac:dyDescent="0.25"/>
  <cols>
    <col min="1" max="1" width="38.140625" customWidth="1"/>
    <col min="2" max="2" width="15.85546875" customWidth="1"/>
    <col min="3" max="3" width="12.140625" customWidth="1"/>
    <col min="4" max="4" width="16" customWidth="1"/>
    <col min="5" max="5" width="15" customWidth="1"/>
    <col min="6" max="7" width="11" customWidth="1"/>
    <col min="8" max="8" width="10.85546875" customWidth="1"/>
    <col min="9" max="9" width="7" customWidth="1"/>
    <col min="10" max="10" width="13.85546875" customWidth="1"/>
    <col min="11" max="11" width="14.140625" customWidth="1"/>
    <col min="12" max="12" width="15.5703125" customWidth="1"/>
    <col min="13" max="13" width="16" customWidth="1"/>
    <col min="14" max="14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T1" t="s">
        <v>2</v>
      </c>
      <c r="U1" t="s">
        <v>15</v>
      </c>
    </row>
    <row r="2" spans="1:21" x14ac:dyDescent="0.25">
      <c r="A2" t="s">
        <v>50</v>
      </c>
      <c r="B2" t="s">
        <v>85</v>
      </c>
      <c r="C2" t="s">
        <v>16</v>
      </c>
      <c r="D2" s="2">
        <v>46100</v>
      </c>
      <c r="E2" s="2">
        <f t="shared" ref="E2:E65" si="0">IF(C2&lt;&gt;"",D2+VLOOKUP(C2,$T$2:$U$6,2,FALSE),"")</f>
        <v>46130</v>
      </c>
      <c r="F2">
        <f t="shared" ref="F2:F65" ca="1" si="1">IF(E2&lt;&gt;"",E2-TODAY(),"")</f>
        <v>23</v>
      </c>
      <c r="G2">
        <v>5</v>
      </c>
      <c r="H2">
        <v>35</v>
      </c>
      <c r="I2">
        <f t="shared" ref="I2:I65" si="2">IF(H2&lt;&gt;"",H2-G2,"")</f>
        <v>30</v>
      </c>
      <c r="J2" t="s">
        <v>89</v>
      </c>
      <c r="K2" s="2">
        <f t="shared" ref="K2:K65" ca="1" si="3">IF(J2&lt;&gt;"",TODAY(),"")</f>
        <v>46107</v>
      </c>
      <c r="L2" t="s">
        <v>91</v>
      </c>
      <c r="M2" t="s">
        <v>92</v>
      </c>
      <c r="N2" t="s">
        <v>94</v>
      </c>
      <c r="O2">
        <v>2</v>
      </c>
      <c r="T2" t="s">
        <v>16</v>
      </c>
      <c r="U2">
        <v>30</v>
      </c>
    </row>
    <row r="3" spans="1:21" x14ac:dyDescent="0.25">
      <c r="A3" s="3" t="s">
        <v>51</v>
      </c>
      <c r="B3" t="s">
        <v>85</v>
      </c>
      <c r="C3" t="s">
        <v>16</v>
      </c>
      <c r="D3" s="2">
        <v>46101</v>
      </c>
      <c r="E3" s="2">
        <f t="shared" si="0"/>
        <v>46131</v>
      </c>
      <c r="F3">
        <f t="shared" ca="1" si="1"/>
        <v>24</v>
      </c>
      <c r="G3">
        <v>5</v>
      </c>
      <c r="H3">
        <v>35</v>
      </c>
      <c r="I3">
        <f t="shared" si="2"/>
        <v>30</v>
      </c>
      <c r="J3" t="s">
        <v>90</v>
      </c>
      <c r="K3" s="2">
        <f t="shared" ca="1" si="3"/>
        <v>46107</v>
      </c>
      <c r="L3" t="s">
        <v>91</v>
      </c>
      <c r="M3" t="s">
        <v>92</v>
      </c>
      <c r="N3" t="s">
        <v>94</v>
      </c>
      <c r="O3">
        <v>2</v>
      </c>
      <c r="T3" t="s">
        <v>17</v>
      </c>
      <c r="U3">
        <v>60</v>
      </c>
    </row>
    <row r="4" spans="1:21" x14ac:dyDescent="0.25">
      <c r="A4" s="3" t="s">
        <v>52</v>
      </c>
      <c r="B4" t="s">
        <v>85</v>
      </c>
      <c r="C4" t="s">
        <v>16</v>
      </c>
      <c r="D4" s="2">
        <v>46101</v>
      </c>
      <c r="E4" s="2">
        <f t="shared" si="0"/>
        <v>46131</v>
      </c>
      <c r="F4">
        <f t="shared" ca="1" si="1"/>
        <v>24</v>
      </c>
      <c r="G4">
        <v>5</v>
      </c>
      <c r="H4">
        <v>35</v>
      </c>
      <c r="I4">
        <f t="shared" si="2"/>
        <v>30</v>
      </c>
      <c r="J4" t="s">
        <v>89</v>
      </c>
      <c r="K4" s="2">
        <f t="shared" ca="1" si="3"/>
        <v>46107</v>
      </c>
      <c r="L4" t="s">
        <v>91</v>
      </c>
      <c r="M4" t="s">
        <v>92</v>
      </c>
      <c r="N4" t="s">
        <v>94</v>
      </c>
      <c r="O4">
        <v>2</v>
      </c>
      <c r="T4" t="s">
        <v>18</v>
      </c>
      <c r="U4">
        <v>90</v>
      </c>
    </row>
    <row r="5" spans="1:21" x14ac:dyDescent="0.25">
      <c r="A5" t="s">
        <v>53</v>
      </c>
      <c r="B5" t="s">
        <v>85</v>
      </c>
      <c r="C5" t="s">
        <v>16</v>
      </c>
      <c r="D5" s="2">
        <v>46101</v>
      </c>
      <c r="E5" s="2">
        <f t="shared" si="0"/>
        <v>46131</v>
      </c>
      <c r="F5">
        <f t="shared" ca="1" si="1"/>
        <v>24</v>
      </c>
      <c r="G5">
        <v>5</v>
      </c>
      <c r="H5">
        <v>35</v>
      </c>
      <c r="I5">
        <f t="shared" si="2"/>
        <v>30</v>
      </c>
      <c r="J5" t="s">
        <v>89</v>
      </c>
      <c r="K5" s="2">
        <f t="shared" ca="1" si="3"/>
        <v>46107</v>
      </c>
      <c r="L5" t="s">
        <v>91</v>
      </c>
      <c r="M5" t="s">
        <v>92</v>
      </c>
      <c r="N5" t="s">
        <v>94</v>
      </c>
      <c r="O5">
        <v>2</v>
      </c>
      <c r="T5" t="s">
        <v>19</v>
      </c>
      <c r="U5">
        <v>180</v>
      </c>
    </row>
    <row r="6" spans="1:21" x14ac:dyDescent="0.25">
      <c r="A6" t="s">
        <v>54</v>
      </c>
      <c r="B6" t="s">
        <v>86</v>
      </c>
      <c r="C6" t="s">
        <v>20</v>
      </c>
      <c r="D6" s="2">
        <v>46074</v>
      </c>
      <c r="E6" s="2">
        <f t="shared" si="0"/>
        <v>46439</v>
      </c>
      <c r="F6">
        <f t="shared" ca="1" si="1"/>
        <v>332</v>
      </c>
      <c r="G6">
        <v>5</v>
      </c>
      <c r="H6">
        <v>60</v>
      </c>
      <c r="I6">
        <f t="shared" si="2"/>
        <v>55</v>
      </c>
      <c r="J6" t="s">
        <v>89</v>
      </c>
      <c r="K6" s="2">
        <f t="shared" ca="1" si="3"/>
        <v>46107</v>
      </c>
      <c r="L6" t="s">
        <v>91</v>
      </c>
      <c r="M6" t="s">
        <v>92</v>
      </c>
      <c r="N6" t="s">
        <v>94</v>
      </c>
      <c r="T6" t="s">
        <v>20</v>
      </c>
      <c r="U6">
        <v>365</v>
      </c>
    </row>
    <row r="7" spans="1:21" x14ac:dyDescent="0.25">
      <c r="A7" t="s">
        <v>55</v>
      </c>
      <c r="B7" t="s">
        <v>85</v>
      </c>
      <c r="C7" t="s">
        <v>20</v>
      </c>
      <c r="D7" s="2">
        <v>46074</v>
      </c>
      <c r="E7" s="2">
        <f t="shared" si="0"/>
        <v>46439</v>
      </c>
      <c r="F7">
        <f t="shared" ca="1" si="1"/>
        <v>332</v>
      </c>
      <c r="G7">
        <v>40</v>
      </c>
      <c r="H7">
        <v>300</v>
      </c>
      <c r="I7">
        <f t="shared" si="2"/>
        <v>260</v>
      </c>
      <c r="J7" t="s">
        <v>89</v>
      </c>
      <c r="K7" s="2">
        <f t="shared" ca="1" si="3"/>
        <v>46107</v>
      </c>
      <c r="L7" t="s">
        <v>91</v>
      </c>
      <c r="M7" t="s">
        <v>92</v>
      </c>
      <c r="N7" t="s">
        <v>94</v>
      </c>
    </row>
    <row r="8" spans="1:21" x14ac:dyDescent="0.25">
      <c r="A8" t="s">
        <v>56</v>
      </c>
      <c r="B8" t="s">
        <v>85</v>
      </c>
      <c r="C8" t="s">
        <v>20</v>
      </c>
      <c r="D8" s="2">
        <v>46074</v>
      </c>
      <c r="E8" s="2">
        <f t="shared" si="0"/>
        <v>46439</v>
      </c>
      <c r="F8">
        <f t="shared" ca="1" si="1"/>
        <v>332</v>
      </c>
      <c r="G8">
        <v>40</v>
      </c>
      <c r="H8">
        <v>300</v>
      </c>
      <c r="I8">
        <f t="shared" si="2"/>
        <v>260</v>
      </c>
      <c r="J8" t="s">
        <v>89</v>
      </c>
      <c r="K8" s="2">
        <f t="shared" ca="1" si="3"/>
        <v>46107</v>
      </c>
      <c r="L8" t="s">
        <v>91</v>
      </c>
      <c r="M8" t="s">
        <v>92</v>
      </c>
      <c r="N8" t="s">
        <v>94</v>
      </c>
    </row>
    <row r="9" spans="1:21" x14ac:dyDescent="0.25">
      <c r="A9" t="s">
        <v>57</v>
      </c>
      <c r="B9" t="s">
        <v>85</v>
      </c>
      <c r="C9" t="s">
        <v>16</v>
      </c>
      <c r="D9" s="2">
        <v>46074</v>
      </c>
      <c r="E9" s="2">
        <f t="shared" si="0"/>
        <v>46104</v>
      </c>
      <c r="F9">
        <f t="shared" ca="1" si="1"/>
        <v>-3</v>
      </c>
      <c r="G9">
        <v>5</v>
      </c>
      <c r="H9">
        <v>35</v>
      </c>
      <c r="I9">
        <f t="shared" si="2"/>
        <v>30</v>
      </c>
      <c r="J9" t="s">
        <v>89</v>
      </c>
      <c r="K9" s="2">
        <f t="shared" ca="1" si="3"/>
        <v>46107</v>
      </c>
      <c r="L9" t="s">
        <v>91</v>
      </c>
      <c r="M9" t="s">
        <v>92</v>
      </c>
      <c r="N9" t="s">
        <v>94</v>
      </c>
    </row>
    <row r="10" spans="1:21" x14ac:dyDescent="0.25">
      <c r="A10" t="s">
        <v>57</v>
      </c>
      <c r="B10" t="s">
        <v>87</v>
      </c>
      <c r="C10" t="s">
        <v>16</v>
      </c>
      <c r="D10" s="2">
        <v>46074</v>
      </c>
      <c r="E10" s="2">
        <f t="shared" si="0"/>
        <v>46104</v>
      </c>
      <c r="F10">
        <f t="shared" ca="1" si="1"/>
        <v>-3</v>
      </c>
      <c r="G10">
        <v>15</v>
      </c>
      <c r="H10">
        <v>40</v>
      </c>
      <c r="I10">
        <f t="shared" si="2"/>
        <v>25</v>
      </c>
      <c r="J10" t="s">
        <v>89</v>
      </c>
      <c r="K10" s="2">
        <f t="shared" ca="1" si="3"/>
        <v>46107</v>
      </c>
      <c r="L10" t="s">
        <v>91</v>
      </c>
      <c r="M10" t="s">
        <v>92</v>
      </c>
      <c r="N10" t="s">
        <v>94</v>
      </c>
    </row>
    <row r="11" spans="1:21" x14ac:dyDescent="0.25">
      <c r="A11" s="3" t="s">
        <v>58</v>
      </c>
      <c r="B11" t="s">
        <v>85</v>
      </c>
      <c r="C11" t="s">
        <v>16</v>
      </c>
      <c r="D11" s="2">
        <v>46100</v>
      </c>
      <c r="E11" s="2">
        <f t="shared" si="0"/>
        <v>46130</v>
      </c>
      <c r="F11">
        <f t="shared" ca="1" si="1"/>
        <v>23</v>
      </c>
      <c r="G11">
        <v>5</v>
      </c>
      <c r="H11">
        <v>35</v>
      </c>
      <c r="I11">
        <f t="shared" si="2"/>
        <v>30</v>
      </c>
      <c r="J11" t="s">
        <v>89</v>
      </c>
      <c r="K11" s="2">
        <f t="shared" ca="1" si="3"/>
        <v>46107</v>
      </c>
      <c r="L11" t="s">
        <v>91</v>
      </c>
      <c r="M11" t="s">
        <v>92</v>
      </c>
      <c r="N11" t="s">
        <v>94</v>
      </c>
      <c r="O11">
        <v>2</v>
      </c>
    </row>
    <row r="12" spans="1:21" x14ac:dyDescent="0.25">
      <c r="A12" s="3" t="s">
        <v>315</v>
      </c>
      <c r="B12" t="s">
        <v>85</v>
      </c>
      <c r="C12" t="s">
        <v>16</v>
      </c>
      <c r="D12" s="2">
        <v>46100</v>
      </c>
      <c r="E12" s="2">
        <f t="shared" si="0"/>
        <v>46130</v>
      </c>
      <c r="F12">
        <f t="shared" ca="1" si="1"/>
        <v>23</v>
      </c>
      <c r="G12">
        <v>5</v>
      </c>
      <c r="H12">
        <v>35</v>
      </c>
      <c r="I12">
        <f t="shared" si="2"/>
        <v>30</v>
      </c>
      <c r="J12" t="s">
        <v>89</v>
      </c>
      <c r="K12" s="2">
        <f t="shared" ca="1" si="3"/>
        <v>46107</v>
      </c>
      <c r="L12" t="s">
        <v>91</v>
      </c>
      <c r="M12" t="s">
        <v>92</v>
      </c>
      <c r="N12" t="s">
        <v>94</v>
      </c>
      <c r="O12">
        <v>2</v>
      </c>
    </row>
    <row r="13" spans="1:21" ht="15.75" thickBot="1" x14ac:dyDescent="0.3">
      <c r="A13" s="4" t="s">
        <v>59</v>
      </c>
      <c r="B13" s="4" t="s">
        <v>32</v>
      </c>
      <c r="C13" t="s">
        <v>20</v>
      </c>
      <c r="D13" s="2">
        <v>46074</v>
      </c>
      <c r="E13" s="2">
        <f t="shared" si="0"/>
        <v>46439</v>
      </c>
      <c r="F13">
        <f t="shared" ca="1" si="1"/>
        <v>332</v>
      </c>
      <c r="G13">
        <v>70</v>
      </c>
      <c r="H13">
        <v>200</v>
      </c>
      <c r="I13">
        <f t="shared" si="2"/>
        <v>130</v>
      </c>
      <c r="J13" t="s">
        <v>89</v>
      </c>
      <c r="K13" s="2">
        <f t="shared" ca="1" si="3"/>
        <v>46107</v>
      </c>
      <c r="L13" t="s">
        <v>91</v>
      </c>
      <c r="M13" t="s">
        <v>92</v>
      </c>
      <c r="N13" t="s">
        <v>94</v>
      </c>
    </row>
    <row r="14" spans="1:21" x14ac:dyDescent="0.25">
      <c r="A14" t="s">
        <v>60</v>
      </c>
      <c r="B14" t="s">
        <v>85</v>
      </c>
      <c r="C14" t="s">
        <v>16</v>
      </c>
      <c r="D14" s="2">
        <v>46099</v>
      </c>
      <c r="E14" s="2">
        <f t="shared" si="0"/>
        <v>46129</v>
      </c>
      <c r="F14">
        <f t="shared" ca="1" si="1"/>
        <v>22</v>
      </c>
      <c r="G14">
        <v>10</v>
      </c>
      <c r="H14">
        <v>70</v>
      </c>
      <c r="I14">
        <f t="shared" si="2"/>
        <v>60</v>
      </c>
      <c r="J14" t="s">
        <v>89</v>
      </c>
      <c r="K14" s="2">
        <f t="shared" ca="1" si="3"/>
        <v>46107</v>
      </c>
      <c r="L14" t="s">
        <v>91</v>
      </c>
      <c r="M14" t="s">
        <v>92</v>
      </c>
      <c r="N14" t="s">
        <v>94</v>
      </c>
      <c r="O14">
        <v>2</v>
      </c>
    </row>
    <row r="15" spans="1:21" x14ac:dyDescent="0.25">
      <c r="A15" t="s">
        <v>61</v>
      </c>
      <c r="B15" t="s">
        <v>85</v>
      </c>
      <c r="C15" t="s">
        <v>16</v>
      </c>
      <c r="D15" s="2">
        <f>D14</f>
        <v>46099</v>
      </c>
      <c r="E15" s="2">
        <f t="shared" si="0"/>
        <v>46129</v>
      </c>
      <c r="F15">
        <f t="shared" ca="1" si="1"/>
        <v>22</v>
      </c>
      <c r="G15">
        <v>5</v>
      </c>
      <c r="H15">
        <v>35</v>
      </c>
      <c r="I15">
        <f t="shared" si="2"/>
        <v>30</v>
      </c>
      <c r="J15" t="s">
        <v>89</v>
      </c>
      <c r="K15" s="2">
        <f t="shared" ca="1" si="3"/>
        <v>46107</v>
      </c>
      <c r="L15" t="s">
        <v>91</v>
      </c>
      <c r="M15" t="s">
        <v>92</v>
      </c>
      <c r="N15" t="s">
        <v>94</v>
      </c>
    </row>
    <row r="16" spans="1:21" x14ac:dyDescent="0.25">
      <c r="A16" s="3" t="s">
        <v>62</v>
      </c>
      <c r="B16" t="s">
        <v>85</v>
      </c>
      <c r="C16" t="s">
        <v>16</v>
      </c>
      <c r="D16" s="2">
        <v>46076</v>
      </c>
      <c r="E16" s="2">
        <f t="shared" si="0"/>
        <v>46106</v>
      </c>
      <c r="F16">
        <f t="shared" ca="1" si="1"/>
        <v>-1</v>
      </c>
      <c r="G16">
        <v>5</v>
      </c>
      <c r="H16">
        <v>35</v>
      </c>
      <c r="I16">
        <f t="shared" si="2"/>
        <v>30</v>
      </c>
      <c r="J16" t="s">
        <v>89</v>
      </c>
      <c r="K16" s="2">
        <f t="shared" ca="1" si="3"/>
        <v>46107</v>
      </c>
      <c r="L16" t="s">
        <v>91</v>
      </c>
      <c r="M16" t="s">
        <v>92</v>
      </c>
      <c r="N16" t="s">
        <v>94</v>
      </c>
    </row>
    <row r="17" spans="1:15" x14ac:dyDescent="0.25">
      <c r="A17" t="s">
        <v>63</v>
      </c>
      <c r="B17" t="s">
        <v>85</v>
      </c>
      <c r="C17" t="s">
        <v>16</v>
      </c>
      <c r="D17" s="2">
        <v>46076</v>
      </c>
      <c r="E17" s="2">
        <f t="shared" si="0"/>
        <v>46106</v>
      </c>
      <c r="F17">
        <f t="shared" ca="1" si="1"/>
        <v>-1</v>
      </c>
      <c r="G17">
        <v>5</v>
      </c>
      <c r="H17">
        <v>35</v>
      </c>
      <c r="I17">
        <f t="shared" si="2"/>
        <v>30</v>
      </c>
      <c r="J17" t="s">
        <v>89</v>
      </c>
      <c r="K17" s="2">
        <f t="shared" ca="1" si="3"/>
        <v>46107</v>
      </c>
      <c r="L17" t="s">
        <v>91</v>
      </c>
      <c r="M17" t="s">
        <v>92</v>
      </c>
      <c r="N17" t="s">
        <v>94</v>
      </c>
    </row>
    <row r="18" spans="1:15" x14ac:dyDescent="0.25">
      <c r="A18" s="3" t="s">
        <v>64</v>
      </c>
      <c r="B18" t="s">
        <v>85</v>
      </c>
      <c r="C18" t="s">
        <v>16</v>
      </c>
      <c r="D18" s="2">
        <v>46076</v>
      </c>
      <c r="E18" s="2">
        <f t="shared" si="0"/>
        <v>46106</v>
      </c>
      <c r="F18">
        <f t="shared" ca="1" si="1"/>
        <v>-1</v>
      </c>
      <c r="G18">
        <v>5</v>
      </c>
      <c r="H18">
        <v>35</v>
      </c>
      <c r="I18">
        <f t="shared" si="2"/>
        <v>30</v>
      </c>
      <c r="J18" t="s">
        <v>89</v>
      </c>
      <c r="K18" s="2">
        <f t="shared" ca="1" si="3"/>
        <v>46107</v>
      </c>
      <c r="L18" t="s">
        <v>91</v>
      </c>
      <c r="M18" t="s">
        <v>92</v>
      </c>
      <c r="N18" t="s">
        <v>94</v>
      </c>
    </row>
    <row r="19" spans="1:15" x14ac:dyDescent="0.25">
      <c r="A19" t="s">
        <v>65</v>
      </c>
      <c r="B19" t="s">
        <v>85</v>
      </c>
      <c r="C19" t="s">
        <v>16</v>
      </c>
      <c r="D19" s="2">
        <v>46099</v>
      </c>
      <c r="E19" s="2">
        <f t="shared" si="0"/>
        <v>46129</v>
      </c>
      <c r="F19">
        <f t="shared" ca="1" si="1"/>
        <v>22</v>
      </c>
      <c r="G19">
        <v>5</v>
      </c>
      <c r="H19">
        <v>35</v>
      </c>
      <c r="I19">
        <f t="shared" si="2"/>
        <v>30</v>
      </c>
      <c r="J19" t="s">
        <v>89</v>
      </c>
      <c r="K19" s="2">
        <f t="shared" ca="1" si="3"/>
        <v>46107</v>
      </c>
      <c r="L19" t="s">
        <v>91</v>
      </c>
      <c r="M19" t="s">
        <v>92</v>
      </c>
      <c r="N19" t="s">
        <v>94</v>
      </c>
      <c r="O19">
        <v>2</v>
      </c>
    </row>
    <row r="20" spans="1:15" x14ac:dyDescent="0.25">
      <c r="A20" t="s">
        <v>66</v>
      </c>
      <c r="B20" t="s">
        <v>85</v>
      </c>
      <c r="C20" t="s">
        <v>16</v>
      </c>
      <c r="D20" s="2">
        <v>46094</v>
      </c>
      <c r="E20" s="2">
        <f t="shared" si="0"/>
        <v>46124</v>
      </c>
      <c r="F20">
        <f t="shared" ca="1" si="1"/>
        <v>17</v>
      </c>
      <c r="G20">
        <v>5</v>
      </c>
      <c r="H20">
        <v>35</v>
      </c>
      <c r="I20">
        <f t="shared" si="2"/>
        <v>30</v>
      </c>
      <c r="J20" t="s">
        <v>89</v>
      </c>
      <c r="K20" s="2">
        <f t="shared" ca="1" si="3"/>
        <v>46107</v>
      </c>
      <c r="L20" t="s">
        <v>91</v>
      </c>
      <c r="M20" t="s">
        <v>92</v>
      </c>
      <c r="N20" t="s">
        <v>94</v>
      </c>
    </row>
    <row r="21" spans="1:15" x14ac:dyDescent="0.25">
      <c r="A21" s="3" t="s">
        <v>67</v>
      </c>
      <c r="B21" t="s">
        <v>85</v>
      </c>
      <c r="C21" t="s">
        <v>16</v>
      </c>
      <c r="D21" s="2">
        <v>46076</v>
      </c>
      <c r="E21" s="2">
        <f t="shared" si="0"/>
        <v>46106</v>
      </c>
      <c r="F21">
        <f t="shared" ca="1" si="1"/>
        <v>-1</v>
      </c>
      <c r="G21">
        <v>5</v>
      </c>
      <c r="H21">
        <v>35</v>
      </c>
      <c r="I21">
        <f t="shared" si="2"/>
        <v>30</v>
      </c>
      <c r="J21" t="s">
        <v>89</v>
      </c>
      <c r="K21" s="2">
        <f t="shared" ca="1" si="3"/>
        <v>46107</v>
      </c>
      <c r="L21" t="s">
        <v>91</v>
      </c>
      <c r="M21" t="s">
        <v>92</v>
      </c>
      <c r="N21" t="s">
        <v>94</v>
      </c>
    </row>
    <row r="22" spans="1:15" x14ac:dyDescent="0.25">
      <c r="A22" t="s">
        <v>68</v>
      </c>
      <c r="B22" t="s">
        <v>30</v>
      </c>
      <c r="C22" t="s">
        <v>20</v>
      </c>
      <c r="D22" s="2">
        <v>46076</v>
      </c>
      <c r="E22" s="2">
        <f t="shared" si="0"/>
        <v>46441</v>
      </c>
      <c r="F22">
        <f t="shared" ca="1" si="1"/>
        <v>334</v>
      </c>
      <c r="G22">
        <v>20</v>
      </c>
      <c r="H22">
        <v>200</v>
      </c>
      <c r="I22">
        <f t="shared" si="2"/>
        <v>180</v>
      </c>
      <c r="J22" t="s">
        <v>89</v>
      </c>
      <c r="K22" s="2">
        <f t="shared" ca="1" si="3"/>
        <v>46107</v>
      </c>
      <c r="L22" t="s">
        <v>91</v>
      </c>
      <c r="M22" t="s">
        <v>92</v>
      </c>
      <c r="N22" t="s">
        <v>94</v>
      </c>
    </row>
    <row r="23" spans="1:15" x14ac:dyDescent="0.25">
      <c r="A23" t="s">
        <v>68</v>
      </c>
      <c r="B23" t="s">
        <v>88</v>
      </c>
      <c r="C23" t="s">
        <v>16</v>
      </c>
      <c r="D23" s="2">
        <v>46101</v>
      </c>
      <c r="E23" s="2">
        <f t="shared" si="0"/>
        <v>46131</v>
      </c>
      <c r="F23">
        <f t="shared" ca="1" si="1"/>
        <v>24</v>
      </c>
      <c r="G23">
        <v>18</v>
      </c>
      <c r="H23">
        <v>30</v>
      </c>
      <c r="I23">
        <f t="shared" si="2"/>
        <v>12</v>
      </c>
      <c r="J23" t="s">
        <v>89</v>
      </c>
      <c r="K23" s="2">
        <f t="shared" ca="1" si="3"/>
        <v>46107</v>
      </c>
      <c r="L23" t="s">
        <v>91</v>
      </c>
      <c r="M23" t="s">
        <v>93</v>
      </c>
      <c r="N23" t="s">
        <v>94</v>
      </c>
      <c r="O23">
        <v>2</v>
      </c>
    </row>
    <row r="24" spans="1:15" x14ac:dyDescent="0.25">
      <c r="A24" t="s">
        <v>69</v>
      </c>
      <c r="B24" t="s">
        <v>85</v>
      </c>
      <c r="C24" t="s">
        <v>16</v>
      </c>
      <c r="D24" s="2">
        <v>46076</v>
      </c>
      <c r="E24" s="2">
        <f t="shared" si="0"/>
        <v>46106</v>
      </c>
      <c r="F24">
        <f t="shared" ca="1" si="1"/>
        <v>-1</v>
      </c>
      <c r="G24">
        <v>5</v>
      </c>
      <c r="H24">
        <v>35</v>
      </c>
      <c r="I24">
        <f t="shared" si="2"/>
        <v>30</v>
      </c>
      <c r="J24" t="s">
        <v>89</v>
      </c>
      <c r="K24" s="2">
        <f t="shared" ca="1" si="3"/>
        <v>46107</v>
      </c>
      <c r="L24" t="s">
        <v>91</v>
      </c>
      <c r="M24" t="s">
        <v>92</v>
      </c>
      <c r="N24" t="s">
        <v>94</v>
      </c>
    </row>
    <row r="25" spans="1:15" x14ac:dyDescent="0.25">
      <c r="A25" t="s">
        <v>70</v>
      </c>
      <c r="B25" t="s">
        <v>85</v>
      </c>
      <c r="C25" t="s">
        <v>16</v>
      </c>
      <c r="D25" s="2">
        <v>46076</v>
      </c>
      <c r="E25" s="2">
        <f t="shared" si="0"/>
        <v>46106</v>
      </c>
      <c r="F25">
        <f t="shared" ca="1" si="1"/>
        <v>-1</v>
      </c>
      <c r="G25">
        <v>5</v>
      </c>
      <c r="H25">
        <v>35</v>
      </c>
      <c r="I25">
        <f t="shared" si="2"/>
        <v>30</v>
      </c>
      <c r="J25" t="s">
        <v>89</v>
      </c>
      <c r="K25" s="2">
        <f t="shared" ca="1" si="3"/>
        <v>46107</v>
      </c>
      <c r="L25" t="s">
        <v>91</v>
      </c>
      <c r="M25" t="s">
        <v>92</v>
      </c>
      <c r="N25" t="s">
        <v>94</v>
      </c>
    </row>
    <row r="26" spans="1:15" x14ac:dyDescent="0.25">
      <c r="A26" s="3" t="s">
        <v>71</v>
      </c>
      <c r="B26" t="s">
        <v>85</v>
      </c>
      <c r="C26" t="s">
        <v>16</v>
      </c>
      <c r="D26" s="2">
        <v>46103</v>
      </c>
      <c r="E26" s="2">
        <f t="shared" si="0"/>
        <v>46133</v>
      </c>
      <c r="F26">
        <f t="shared" ca="1" si="1"/>
        <v>26</v>
      </c>
      <c r="G26">
        <v>5</v>
      </c>
      <c r="H26">
        <v>35</v>
      </c>
      <c r="I26">
        <f t="shared" si="2"/>
        <v>30</v>
      </c>
      <c r="J26" t="s">
        <v>89</v>
      </c>
      <c r="K26" s="2">
        <f t="shared" ca="1" si="3"/>
        <v>46107</v>
      </c>
      <c r="L26" t="s">
        <v>91</v>
      </c>
      <c r="M26" t="s">
        <v>92</v>
      </c>
      <c r="N26" t="s">
        <v>94</v>
      </c>
      <c r="O26">
        <v>2</v>
      </c>
    </row>
    <row r="27" spans="1:15" x14ac:dyDescent="0.25">
      <c r="A27" t="s">
        <v>72</v>
      </c>
      <c r="B27" t="s">
        <v>85</v>
      </c>
      <c r="C27" t="s">
        <v>16</v>
      </c>
      <c r="D27" s="2">
        <v>46076</v>
      </c>
      <c r="E27" s="2">
        <f t="shared" si="0"/>
        <v>46106</v>
      </c>
      <c r="F27">
        <f t="shared" ca="1" si="1"/>
        <v>-1</v>
      </c>
      <c r="G27">
        <v>5</v>
      </c>
      <c r="H27">
        <v>35</v>
      </c>
      <c r="I27">
        <f t="shared" si="2"/>
        <v>30</v>
      </c>
      <c r="J27" t="s">
        <v>89</v>
      </c>
      <c r="K27" s="2">
        <f t="shared" ca="1" si="3"/>
        <v>46107</v>
      </c>
      <c r="L27" t="s">
        <v>91</v>
      </c>
      <c r="M27" t="s">
        <v>92</v>
      </c>
      <c r="N27" t="s">
        <v>94</v>
      </c>
    </row>
    <row r="28" spans="1:15" x14ac:dyDescent="0.25">
      <c r="A28" s="3" t="s">
        <v>73</v>
      </c>
      <c r="B28" t="s">
        <v>85</v>
      </c>
      <c r="C28" t="s">
        <v>16</v>
      </c>
      <c r="D28" s="2">
        <v>46076</v>
      </c>
      <c r="E28" s="2">
        <f t="shared" si="0"/>
        <v>46106</v>
      </c>
      <c r="F28">
        <f t="shared" ca="1" si="1"/>
        <v>-1</v>
      </c>
      <c r="G28">
        <v>5</v>
      </c>
      <c r="H28">
        <v>35</v>
      </c>
      <c r="I28">
        <f t="shared" si="2"/>
        <v>30</v>
      </c>
      <c r="J28" t="s">
        <v>89</v>
      </c>
      <c r="K28" s="2">
        <f t="shared" ca="1" si="3"/>
        <v>46107</v>
      </c>
      <c r="L28" t="s">
        <v>91</v>
      </c>
      <c r="M28" t="s">
        <v>92</v>
      </c>
      <c r="N28" t="s">
        <v>94</v>
      </c>
    </row>
    <row r="29" spans="1:15" x14ac:dyDescent="0.25">
      <c r="A29" t="s">
        <v>74</v>
      </c>
      <c r="B29" t="s">
        <v>85</v>
      </c>
      <c r="C29" t="s">
        <v>16</v>
      </c>
      <c r="D29" s="2">
        <v>46076</v>
      </c>
      <c r="E29" s="2">
        <f t="shared" si="0"/>
        <v>46106</v>
      </c>
      <c r="F29">
        <f t="shared" ca="1" si="1"/>
        <v>-1</v>
      </c>
      <c r="G29">
        <v>5</v>
      </c>
      <c r="H29">
        <v>35</v>
      </c>
      <c r="I29">
        <f t="shared" si="2"/>
        <v>30</v>
      </c>
      <c r="J29" t="s">
        <v>89</v>
      </c>
      <c r="K29" s="2">
        <f t="shared" ca="1" si="3"/>
        <v>46107</v>
      </c>
      <c r="L29" t="s">
        <v>91</v>
      </c>
      <c r="M29" t="s">
        <v>92</v>
      </c>
      <c r="N29" t="s">
        <v>94</v>
      </c>
    </row>
    <row r="30" spans="1:15" x14ac:dyDescent="0.25">
      <c r="A30" t="s">
        <v>75</v>
      </c>
      <c r="B30" t="s">
        <v>85</v>
      </c>
      <c r="C30" t="s">
        <v>16</v>
      </c>
      <c r="D30" s="2">
        <v>46103</v>
      </c>
      <c r="E30" s="2">
        <f t="shared" si="0"/>
        <v>46133</v>
      </c>
      <c r="F30">
        <f t="shared" ca="1" si="1"/>
        <v>26</v>
      </c>
      <c r="G30">
        <v>5</v>
      </c>
      <c r="H30">
        <v>35</v>
      </c>
      <c r="I30">
        <f t="shared" si="2"/>
        <v>30</v>
      </c>
      <c r="J30" t="s">
        <v>89</v>
      </c>
      <c r="K30" s="2">
        <f t="shared" ca="1" si="3"/>
        <v>46107</v>
      </c>
      <c r="L30" t="s">
        <v>91</v>
      </c>
      <c r="M30" t="s">
        <v>92</v>
      </c>
      <c r="N30" t="s">
        <v>94</v>
      </c>
      <c r="O30">
        <v>2</v>
      </c>
    </row>
    <row r="31" spans="1:15" x14ac:dyDescent="0.25">
      <c r="A31" s="3" t="s">
        <v>76</v>
      </c>
      <c r="B31" t="s">
        <v>30</v>
      </c>
      <c r="C31" t="s">
        <v>16</v>
      </c>
      <c r="D31" s="2">
        <v>46076</v>
      </c>
      <c r="E31" s="2">
        <f t="shared" si="0"/>
        <v>46106</v>
      </c>
      <c r="F31">
        <f t="shared" ca="1" si="1"/>
        <v>-1</v>
      </c>
      <c r="G31">
        <v>5</v>
      </c>
      <c r="H31">
        <v>35</v>
      </c>
      <c r="I31">
        <f t="shared" si="2"/>
        <v>30</v>
      </c>
      <c r="J31" t="s">
        <v>89</v>
      </c>
      <c r="K31" s="2">
        <f t="shared" ca="1" si="3"/>
        <v>46107</v>
      </c>
      <c r="L31" t="s">
        <v>91</v>
      </c>
      <c r="M31" t="s">
        <v>92</v>
      </c>
      <c r="N31" t="s">
        <v>94</v>
      </c>
    </row>
    <row r="32" spans="1:15" x14ac:dyDescent="0.25">
      <c r="A32" t="s">
        <v>77</v>
      </c>
      <c r="B32" t="s">
        <v>85</v>
      </c>
      <c r="C32" t="s">
        <v>16</v>
      </c>
      <c r="D32" s="2">
        <v>46101</v>
      </c>
      <c r="E32" s="2">
        <f t="shared" si="0"/>
        <v>46131</v>
      </c>
      <c r="F32">
        <f t="shared" ca="1" si="1"/>
        <v>24</v>
      </c>
      <c r="G32">
        <v>5</v>
      </c>
      <c r="H32">
        <v>35</v>
      </c>
      <c r="I32">
        <f t="shared" si="2"/>
        <v>30</v>
      </c>
      <c r="J32" t="s">
        <v>89</v>
      </c>
      <c r="K32" s="2">
        <f t="shared" ca="1" si="3"/>
        <v>46107</v>
      </c>
      <c r="L32" t="s">
        <v>91</v>
      </c>
      <c r="M32" t="s">
        <v>92</v>
      </c>
      <c r="N32" t="s">
        <v>94</v>
      </c>
      <c r="O32">
        <v>2</v>
      </c>
    </row>
    <row r="33" spans="1:15" x14ac:dyDescent="0.25">
      <c r="A33" t="s">
        <v>78</v>
      </c>
      <c r="B33" t="s">
        <v>85</v>
      </c>
      <c r="C33" t="s">
        <v>16</v>
      </c>
      <c r="D33" s="2">
        <f t="shared" ref="D33:D39" ca="1" si="4">IF(C33&lt;&gt;"",TODAY(),"")</f>
        <v>46107</v>
      </c>
      <c r="E33" s="2">
        <f t="shared" ca="1" si="0"/>
        <v>46137</v>
      </c>
      <c r="F33">
        <f t="shared" ca="1" si="1"/>
        <v>30</v>
      </c>
      <c r="G33">
        <v>5</v>
      </c>
      <c r="H33">
        <v>35</v>
      </c>
      <c r="I33">
        <f t="shared" si="2"/>
        <v>30</v>
      </c>
      <c r="J33" t="s">
        <v>89</v>
      </c>
      <c r="K33" s="2">
        <f t="shared" ca="1" si="3"/>
        <v>46107</v>
      </c>
      <c r="L33" t="s">
        <v>91</v>
      </c>
      <c r="M33" t="s">
        <v>92</v>
      </c>
      <c r="N33" t="s">
        <v>94</v>
      </c>
    </row>
    <row r="34" spans="1:15" x14ac:dyDescent="0.25">
      <c r="A34" t="s">
        <v>79</v>
      </c>
      <c r="B34" t="s">
        <v>85</v>
      </c>
      <c r="C34" t="s">
        <v>16</v>
      </c>
      <c r="D34" s="2">
        <f t="shared" ca="1" si="4"/>
        <v>46107</v>
      </c>
      <c r="E34" s="2">
        <f t="shared" ca="1" si="0"/>
        <v>46137</v>
      </c>
      <c r="F34">
        <f t="shared" ca="1" si="1"/>
        <v>30</v>
      </c>
      <c r="G34">
        <v>5</v>
      </c>
      <c r="H34">
        <v>35</v>
      </c>
      <c r="I34">
        <f t="shared" si="2"/>
        <v>30</v>
      </c>
      <c r="J34" t="s">
        <v>89</v>
      </c>
      <c r="K34" s="2">
        <f t="shared" ca="1" si="3"/>
        <v>46107</v>
      </c>
      <c r="L34" t="s">
        <v>91</v>
      </c>
      <c r="M34" t="s">
        <v>92</v>
      </c>
      <c r="N34" t="s">
        <v>94</v>
      </c>
    </row>
    <row r="35" spans="1:15" x14ac:dyDescent="0.25">
      <c r="A35" t="s">
        <v>80</v>
      </c>
      <c r="B35" t="s">
        <v>85</v>
      </c>
      <c r="C35" t="s">
        <v>16</v>
      </c>
      <c r="D35" s="2">
        <f t="shared" ca="1" si="4"/>
        <v>46107</v>
      </c>
      <c r="E35" s="2">
        <f t="shared" ca="1" si="0"/>
        <v>46137</v>
      </c>
      <c r="F35">
        <f t="shared" ca="1" si="1"/>
        <v>30</v>
      </c>
      <c r="G35">
        <v>5</v>
      </c>
      <c r="H35">
        <v>35</v>
      </c>
      <c r="I35">
        <f t="shared" si="2"/>
        <v>30</v>
      </c>
      <c r="J35" t="s">
        <v>89</v>
      </c>
      <c r="K35" s="2">
        <f t="shared" ca="1" si="3"/>
        <v>46107</v>
      </c>
      <c r="L35" t="s">
        <v>91</v>
      </c>
      <c r="M35" t="s">
        <v>92</v>
      </c>
      <c r="N35" t="s">
        <v>94</v>
      </c>
    </row>
    <row r="36" spans="1:15" x14ac:dyDescent="0.25">
      <c r="A36" t="s">
        <v>81</v>
      </c>
      <c r="B36" t="s">
        <v>85</v>
      </c>
      <c r="C36" t="s">
        <v>16</v>
      </c>
      <c r="D36" s="2">
        <f t="shared" ca="1" si="4"/>
        <v>46107</v>
      </c>
      <c r="E36" s="2">
        <f t="shared" ca="1" si="0"/>
        <v>46137</v>
      </c>
      <c r="F36">
        <f t="shared" ca="1" si="1"/>
        <v>30</v>
      </c>
      <c r="G36">
        <v>5</v>
      </c>
      <c r="H36">
        <v>35</v>
      </c>
      <c r="I36">
        <f t="shared" si="2"/>
        <v>30</v>
      </c>
      <c r="J36" t="s">
        <v>89</v>
      </c>
      <c r="K36" s="2">
        <f t="shared" ca="1" si="3"/>
        <v>46107</v>
      </c>
      <c r="L36" t="s">
        <v>91</v>
      </c>
      <c r="M36" t="s">
        <v>92</v>
      </c>
      <c r="N36" t="s">
        <v>94</v>
      </c>
    </row>
    <row r="37" spans="1:15" x14ac:dyDescent="0.25">
      <c r="A37" t="s">
        <v>82</v>
      </c>
      <c r="B37" t="s">
        <v>85</v>
      </c>
      <c r="C37" t="s">
        <v>16</v>
      </c>
      <c r="D37" s="2">
        <f t="shared" ca="1" si="4"/>
        <v>46107</v>
      </c>
      <c r="E37" s="2">
        <f t="shared" ca="1" si="0"/>
        <v>46137</v>
      </c>
      <c r="F37">
        <f t="shared" ca="1" si="1"/>
        <v>30</v>
      </c>
      <c r="G37">
        <v>5</v>
      </c>
      <c r="H37">
        <v>35</v>
      </c>
      <c r="I37">
        <f t="shared" si="2"/>
        <v>30</v>
      </c>
      <c r="J37" t="s">
        <v>89</v>
      </c>
      <c r="K37" s="2">
        <f t="shared" ca="1" si="3"/>
        <v>46107</v>
      </c>
      <c r="L37" t="s">
        <v>91</v>
      </c>
      <c r="M37" t="s">
        <v>92</v>
      </c>
      <c r="N37" t="s">
        <v>94</v>
      </c>
    </row>
    <row r="38" spans="1:15" x14ac:dyDescent="0.25">
      <c r="A38" t="s">
        <v>83</v>
      </c>
      <c r="B38" t="s">
        <v>85</v>
      </c>
      <c r="C38" t="s">
        <v>16</v>
      </c>
      <c r="D38" s="2">
        <f t="shared" ca="1" si="4"/>
        <v>46107</v>
      </c>
      <c r="E38" s="2">
        <f t="shared" ca="1" si="0"/>
        <v>46137</v>
      </c>
      <c r="F38">
        <f t="shared" ca="1" si="1"/>
        <v>30</v>
      </c>
      <c r="G38">
        <v>5</v>
      </c>
      <c r="H38">
        <v>35</v>
      </c>
      <c r="I38">
        <f t="shared" si="2"/>
        <v>30</v>
      </c>
      <c r="J38" t="s">
        <v>89</v>
      </c>
      <c r="K38" s="2">
        <f t="shared" ca="1" si="3"/>
        <v>46107</v>
      </c>
      <c r="L38" t="s">
        <v>91</v>
      </c>
      <c r="M38" t="s">
        <v>92</v>
      </c>
      <c r="N38" t="s">
        <v>94</v>
      </c>
    </row>
    <row r="39" spans="1:15" x14ac:dyDescent="0.25">
      <c r="A39" t="s">
        <v>84</v>
      </c>
      <c r="B39" t="s">
        <v>85</v>
      </c>
      <c r="C39" t="s">
        <v>16</v>
      </c>
      <c r="D39" s="2">
        <f t="shared" ca="1" si="4"/>
        <v>46107</v>
      </c>
      <c r="E39" s="2">
        <f t="shared" ca="1" si="0"/>
        <v>46137</v>
      </c>
      <c r="F39">
        <f t="shared" ca="1" si="1"/>
        <v>30</v>
      </c>
      <c r="G39">
        <v>5</v>
      </c>
      <c r="H39">
        <v>35</v>
      </c>
      <c r="I39">
        <f t="shared" si="2"/>
        <v>30</v>
      </c>
      <c r="J39" t="s">
        <v>90</v>
      </c>
      <c r="K39" s="2">
        <f t="shared" ca="1" si="3"/>
        <v>46107</v>
      </c>
      <c r="L39" t="s">
        <v>91</v>
      </c>
      <c r="M39" t="s">
        <v>92</v>
      </c>
      <c r="N39" t="s">
        <v>94</v>
      </c>
      <c r="O39">
        <v>2</v>
      </c>
    </row>
    <row r="40" spans="1:15" x14ac:dyDescent="0.25">
      <c r="A40" t="s">
        <v>95</v>
      </c>
      <c r="B40" t="s">
        <v>88</v>
      </c>
      <c r="C40" t="s">
        <v>16</v>
      </c>
      <c r="D40" s="2">
        <v>46075</v>
      </c>
      <c r="E40" s="2">
        <f t="shared" si="0"/>
        <v>46105</v>
      </c>
      <c r="F40">
        <f t="shared" ca="1" si="1"/>
        <v>-2</v>
      </c>
      <c r="G40">
        <v>18</v>
      </c>
      <c r="H40">
        <v>30</v>
      </c>
      <c r="I40">
        <f t="shared" si="2"/>
        <v>12</v>
      </c>
      <c r="J40" t="s">
        <v>89</v>
      </c>
      <c r="K40" s="2">
        <f t="shared" ca="1" si="3"/>
        <v>46107</v>
      </c>
      <c r="L40" t="s">
        <v>91</v>
      </c>
      <c r="M40" t="s">
        <v>93</v>
      </c>
      <c r="N40" t="s">
        <v>94</v>
      </c>
    </row>
    <row r="41" spans="1:15" x14ac:dyDescent="0.25">
      <c r="A41" t="s">
        <v>96</v>
      </c>
      <c r="B41" t="s">
        <v>85</v>
      </c>
      <c r="C41" t="s">
        <v>16</v>
      </c>
      <c r="D41" s="6">
        <v>46077</v>
      </c>
      <c r="E41" s="2">
        <f t="shared" si="0"/>
        <v>46107</v>
      </c>
      <c r="F41">
        <f t="shared" ca="1" si="1"/>
        <v>0</v>
      </c>
      <c r="G41">
        <v>5</v>
      </c>
      <c r="H41">
        <v>35</v>
      </c>
      <c r="I41">
        <f t="shared" si="2"/>
        <v>30</v>
      </c>
      <c r="J41" t="s">
        <v>89</v>
      </c>
      <c r="K41" s="2">
        <f t="shared" ca="1" si="3"/>
        <v>46107</v>
      </c>
      <c r="L41" t="s">
        <v>91</v>
      </c>
      <c r="M41" t="s">
        <v>92</v>
      </c>
      <c r="N41" t="s">
        <v>94</v>
      </c>
    </row>
    <row r="42" spans="1:15" x14ac:dyDescent="0.25">
      <c r="A42" t="s">
        <v>97</v>
      </c>
      <c r="B42" t="s">
        <v>85</v>
      </c>
      <c r="C42" t="s">
        <v>16</v>
      </c>
      <c r="D42" s="6">
        <v>46104</v>
      </c>
      <c r="E42" s="2">
        <f t="shared" si="0"/>
        <v>46134</v>
      </c>
      <c r="F42">
        <f t="shared" ca="1" si="1"/>
        <v>27</v>
      </c>
      <c r="G42">
        <v>5</v>
      </c>
      <c r="H42">
        <v>35</v>
      </c>
      <c r="I42">
        <f t="shared" si="2"/>
        <v>30</v>
      </c>
      <c r="J42" t="s">
        <v>89</v>
      </c>
      <c r="K42" s="2">
        <f t="shared" ca="1" si="3"/>
        <v>46107</v>
      </c>
      <c r="L42" t="s">
        <v>91</v>
      </c>
      <c r="M42" t="s">
        <v>92</v>
      </c>
      <c r="N42" t="s">
        <v>94</v>
      </c>
      <c r="O42">
        <v>2</v>
      </c>
    </row>
    <row r="43" spans="1:15" x14ac:dyDescent="0.25">
      <c r="A43" t="s">
        <v>98</v>
      </c>
      <c r="B43" t="s">
        <v>85</v>
      </c>
      <c r="C43" t="s">
        <v>16</v>
      </c>
      <c r="D43" s="6">
        <v>46077</v>
      </c>
      <c r="E43" s="2">
        <f t="shared" si="0"/>
        <v>46107</v>
      </c>
      <c r="F43">
        <f t="shared" ca="1" si="1"/>
        <v>0</v>
      </c>
      <c r="G43">
        <v>5</v>
      </c>
      <c r="H43">
        <v>35</v>
      </c>
      <c r="I43">
        <f t="shared" si="2"/>
        <v>30</v>
      </c>
      <c r="J43" t="s">
        <v>89</v>
      </c>
      <c r="K43" s="2">
        <f t="shared" ca="1" si="3"/>
        <v>46107</v>
      </c>
      <c r="L43" t="s">
        <v>91</v>
      </c>
      <c r="M43" t="s">
        <v>92</v>
      </c>
      <c r="N43" t="s">
        <v>94</v>
      </c>
    </row>
    <row r="44" spans="1:15" x14ac:dyDescent="0.25">
      <c r="A44" t="s">
        <v>99</v>
      </c>
      <c r="B44" t="s">
        <v>85</v>
      </c>
      <c r="C44" t="s">
        <v>16</v>
      </c>
      <c r="D44" s="6">
        <v>46077</v>
      </c>
      <c r="E44" s="2">
        <f t="shared" si="0"/>
        <v>46107</v>
      </c>
      <c r="F44">
        <f t="shared" ca="1" si="1"/>
        <v>0</v>
      </c>
      <c r="G44">
        <v>5</v>
      </c>
      <c r="H44">
        <v>35</v>
      </c>
      <c r="I44">
        <f t="shared" si="2"/>
        <v>30</v>
      </c>
      <c r="J44" t="s">
        <v>89</v>
      </c>
      <c r="K44" s="2">
        <f t="shared" ca="1" si="3"/>
        <v>46107</v>
      </c>
      <c r="L44" t="s">
        <v>91</v>
      </c>
      <c r="M44" t="s">
        <v>92</v>
      </c>
      <c r="N44" t="s">
        <v>94</v>
      </c>
    </row>
    <row r="45" spans="1:15" x14ac:dyDescent="0.25">
      <c r="A45" s="3" t="s">
        <v>100</v>
      </c>
      <c r="B45" t="s">
        <v>85</v>
      </c>
      <c r="C45" t="s">
        <v>16</v>
      </c>
      <c r="D45" s="6">
        <v>46105</v>
      </c>
      <c r="E45" s="2">
        <f t="shared" si="0"/>
        <v>46135</v>
      </c>
      <c r="F45">
        <f t="shared" ca="1" si="1"/>
        <v>28</v>
      </c>
      <c r="G45">
        <v>5</v>
      </c>
      <c r="H45">
        <v>35</v>
      </c>
      <c r="I45">
        <f t="shared" si="2"/>
        <v>30</v>
      </c>
      <c r="J45" t="s">
        <v>89</v>
      </c>
      <c r="K45" s="2">
        <f t="shared" ca="1" si="3"/>
        <v>46107</v>
      </c>
      <c r="L45" t="s">
        <v>91</v>
      </c>
      <c r="M45" t="s">
        <v>92</v>
      </c>
      <c r="N45" t="s">
        <v>94</v>
      </c>
      <c r="O45">
        <v>2</v>
      </c>
    </row>
    <row r="46" spans="1:15" x14ac:dyDescent="0.25">
      <c r="A46" t="s">
        <v>101</v>
      </c>
      <c r="B46" t="s">
        <v>85</v>
      </c>
      <c r="C46" t="s">
        <v>16</v>
      </c>
      <c r="D46" s="6">
        <v>46105</v>
      </c>
      <c r="E46" s="2">
        <f t="shared" si="0"/>
        <v>46135</v>
      </c>
      <c r="F46">
        <f t="shared" ca="1" si="1"/>
        <v>28</v>
      </c>
      <c r="G46">
        <v>5</v>
      </c>
      <c r="H46">
        <v>35</v>
      </c>
      <c r="I46">
        <f t="shared" si="2"/>
        <v>30</v>
      </c>
      <c r="J46" t="s">
        <v>89</v>
      </c>
      <c r="K46" s="2">
        <f t="shared" ca="1" si="3"/>
        <v>46107</v>
      </c>
      <c r="L46" t="s">
        <v>91</v>
      </c>
      <c r="M46" t="s">
        <v>92</v>
      </c>
      <c r="N46" t="s">
        <v>94</v>
      </c>
      <c r="O46">
        <v>2</v>
      </c>
    </row>
    <row r="47" spans="1:15" x14ac:dyDescent="0.25">
      <c r="A47" s="3" t="s">
        <v>309</v>
      </c>
      <c r="B47" t="s">
        <v>310</v>
      </c>
      <c r="C47" t="s">
        <v>16</v>
      </c>
      <c r="D47" s="6">
        <v>46099</v>
      </c>
      <c r="E47" s="2">
        <f t="shared" si="0"/>
        <v>46129</v>
      </c>
      <c r="F47">
        <f t="shared" ca="1" si="1"/>
        <v>22</v>
      </c>
      <c r="G47">
        <v>15</v>
      </c>
      <c r="H47">
        <v>85</v>
      </c>
      <c r="I47">
        <f t="shared" si="2"/>
        <v>70</v>
      </c>
      <c r="J47" t="s">
        <v>89</v>
      </c>
      <c r="K47" s="2">
        <f t="shared" ca="1" si="3"/>
        <v>46107</v>
      </c>
      <c r="L47" t="s">
        <v>91</v>
      </c>
      <c r="M47" t="s">
        <v>92</v>
      </c>
      <c r="N47" t="s">
        <v>94</v>
      </c>
      <c r="O47">
        <v>2</v>
      </c>
    </row>
    <row r="48" spans="1:15" x14ac:dyDescent="0.25">
      <c r="A48" t="s">
        <v>102</v>
      </c>
      <c r="B48" t="s">
        <v>85</v>
      </c>
      <c r="C48" t="s">
        <v>16</v>
      </c>
      <c r="D48" s="6">
        <v>46072</v>
      </c>
      <c r="E48" s="2">
        <f t="shared" si="0"/>
        <v>46102</v>
      </c>
      <c r="F48">
        <f t="shared" ca="1" si="1"/>
        <v>-5</v>
      </c>
      <c r="G48">
        <v>5</v>
      </c>
      <c r="H48">
        <v>35</v>
      </c>
      <c r="I48">
        <f t="shared" si="2"/>
        <v>30</v>
      </c>
      <c r="J48" t="s">
        <v>89</v>
      </c>
      <c r="K48" s="2">
        <f t="shared" ca="1" si="3"/>
        <v>46107</v>
      </c>
      <c r="L48" t="s">
        <v>91</v>
      </c>
      <c r="M48" t="s">
        <v>92</v>
      </c>
      <c r="N48" t="s">
        <v>94</v>
      </c>
    </row>
    <row r="49" spans="1:15" x14ac:dyDescent="0.25">
      <c r="A49" t="s">
        <v>140</v>
      </c>
      <c r="B49" t="s">
        <v>85</v>
      </c>
      <c r="C49" t="s">
        <v>16</v>
      </c>
      <c r="D49" s="6">
        <v>46099</v>
      </c>
      <c r="E49" s="2">
        <f t="shared" si="0"/>
        <v>46129</v>
      </c>
      <c r="F49">
        <f t="shared" ca="1" si="1"/>
        <v>22</v>
      </c>
      <c r="G49">
        <v>10</v>
      </c>
      <c r="H49">
        <v>70</v>
      </c>
      <c r="I49">
        <f t="shared" si="2"/>
        <v>60</v>
      </c>
      <c r="J49" t="s">
        <v>89</v>
      </c>
      <c r="K49" s="2">
        <f t="shared" ca="1" si="3"/>
        <v>46107</v>
      </c>
      <c r="L49" t="s">
        <v>91</v>
      </c>
      <c r="M49" t="s">
        <v>92</v>
      </c>
      <c r="N49" t="s">
        <v>94</v>
      </c>
      <c r="O49">
        <v>2</v>
      </c>
    </row>
    <row r="50" spans="1:15" x14ac:dyDescent="0.25">
      <c r="A50" t="s">
        <v>61</v>
      </c>
      <c r="B50" t="s">
        <v>85</v>
      </c>
      <c r="C50" t="s">
        <v>16</v>
      </c>
      <c r="D50" s="6">
        <v>46099</v>
      </c>
      <c r="E50" s="2">
        <f t="shared" si="0"/>
        <v>46129</v>
      </c>
      <c r="F50">
        <f t="shared" ca="1" si="1"/>
        <v>22</v>
      </c>
      <c r="G50">
        <v>10</v>
      </c>
      <c r="H50">
        <v>70</v>
      </c>
      <c r="I50">
        <f t="shared" si="2"/>
        <v>60</v>
      </c>
      <c r="J50" t="s">
        <v>89</v>
      </c>
      <c r="K50" s="2">
        <f t="shared" ca="1" si="3"/>
        <v>46107</v>
      </c>
      <c r="L50" t="s">
        <v>91</v>
      </c>
      <c r="M50" t="s">
        <v>92</v>
      </c>
      <c r="N50" t="s">
        <v>94</v>
      </c>
      <c r="O50">
        <v>2</v>
      </c>
    </row>
    <row r="51" spans="1:15" x14ac:dyDescent="0.25">
      <c r="A51" t="s">
        <v>103</v>
      </c>
      <c r="B51" t="s">
        <v>30</v>
      </c>
      <c r="C51" t="s">
        <v>16</v>
      </c>
      <c r="D51" s="6">
        <v>46077</v>
      </c>
      <c r="E51" s="2">
        <f t="shared" si="0"/>
        <v>46107</v>
      </c>
      <c r="F51">
        <f t="shared" ca="1" si="1"/>
        <v>0</v>
      </c>
      <c r="G51">
        <v>5</v>
      </c>
      <c r="H51">
        <v>25</v>
      </c>
      <c r="I51">
        <f t="shared" si="2"/>
        <v>20</v>
      </c>
      <c r="J51" t="s">
        <v>89</v>
      </c>
      <c r="K51" s="2">
        <f t="shared" ca="1" si="3"/>
        <v>46107</v>
      </c>
      <c r="L51" t="s">
        <v>91</v>
      </c>
      <c r="M51" t="s">
        <v>92</v>
      </c>
      <c r="N51" t="s">
        <v>94</v>
      </c>
    </row>
    <row r="52" spans="1:15" x14ac:dyDescent="0.25">
      <c r="A52" t="s">
        <v>104</v>
      </c>
      <c r="B52" t="s">
        <v>88</v>
      </c>
      <c r="C52" t="s">
        <v>16</v>
      </c>
      <c r="D52" s="6">
        <v>46078</v>
      </c>
      <c r="E52" s="2">
        <f t="shared" si="0"/>
        <v>46108</v>
      </c>
      <c r="F52">
        <f t="shared" ca="1" si="1"/>
        <v>1</v>
      </c>
      <c r="G52">
        <v>18</v>
      </c>
      <c r="H52">
        <v>35</v>
      </c>
      <c r="I52">
        <f t="shared" si="2"/>
        <v>17</v>
      </c>
      <c r="J52" t="s">
        <v>89</v>
      </c>
      <c r="K52" s="2">
        <f t="shared" ca="1" si="3"/>
        <v>46107</v>
      </c>
      <c r="L52" t="s">
        <v>91</v>
      </c>
      <c r="M52" t="s">
        <v>92</v>
      </c>
      <c r="N52" t="s">
        <v>94</v>
      </c>
    </row>
    <row r="53" spans="1:15" x14ac:dyDescent="0.25">
      <c r="A53" t="s">
        <v>105</v>
      </c>
      <c r="B53" t="s">
        <v>85</v>
      </c>
      <c r="C53" t="s">
        <v>16</v>
      </c>
      <c r="D53" s="6">
        <v>46078</v>
      </c>
      <c r="E53" s="2">
        <f t="shared" si="0"/>
        <v>46108</v>
      </c>
      <c r="F53">
        <f t="shared" ca="1" si="1"/>
        <v>1</v>
      </c>
      <c r="G53">
        <v>5</v>
      </c>
      <c r="H53">
        <v>35</v>
      </c>
      <c r="I53">
        <f t="shared" si="2"/>
        <v>30</v>
      </c>
      <c r="J53" t="s">
        <v>89</v>
      </c>
      <c r="K53" s="2">
        <f t="shared" ca="1" si="3"/>
        <v>46107</v>
      </c>
      <c r="L53" t="s">
        <v>91</v>
      </c>
      <c r="M53" t="s">
        <v>92</v>
      </c>
      <c r="N53" t="s">
        <v>94</v>
      </c>
    </row>
    <row r="54" spans="1:15" x14ac:dyDescent="0.25">
      <c r="A54" s="3" t="s">
        <v>106</v>
      </c>
      <c r="B54" t="s">
        <v>85</v>
      </c>
      <c r="C54" t="s">
        <v>16</v>
      </c>
      <c r="D54" s="6">
        <v>46078</v>
      </c>
      <c r="E54" s="2">
        <f t="shared" si="0"/>
        <v>46108</v>
      </c>
      <c r="F54">
        <f t="shared" ca="1" si="1"/>
        <v>1</v>
      </c>
      <c r="G54">
        <v>5</v>
      </c>
      <c r="H54">
        <v>35</v>
      </c>
      <c r="I54">
        <f t="shared" si="2"/>
        <v>30</v>
      </c>
      <c r="J54" t="s">
        <v>89</v>
      </c>
      <c r="K54" s="2">
        <f t="shared" ca="1" si="3"/>
        <v>46107</v>
      </c>
      <c r="L54" t="s">
        <v>91</v>
      </c>
      <c r="M54" t="s">
        <v>92</v>
      </c>
      <c r="N54" t="s">
        <v>94</v>
      </c>
    </row>
    <row r="55" spans="1:15" x14ac:dyDescent="0.25">
      <c r="A55" t="s">
        <v>107</v>
      </c>
      <c r="B55" t="s">
        <v>85</v>
      </c>
      <c r="C55" t="s">
        <v>16</v>
      </c>
      <c r="D55" s="6">
        <v>46078</v>
      </c>
      <c r="E55" s="2">
        <f t="shared" si="0"/>
        <v>46108</v>
      </c>
      <c r="F55">
        <f t="shared" ca="1" si="1"/>
        <v>1</v>
      </c>
      <c r="G55">
        <v>5</v>
      </c>
      <c r="H55">
        <v>35</v>
      </c>
      <c r="I55">
        <f t="shared" si="2"/>
        <v>30</v>
      </c>
      <c r="J55" t="s">
        <v>89</v>
      </c>
      <c r="K55" s="2">
        <f t="shared" ca="1" si="3"/>
        <v>46107</v>
      </c>
      <c r="L55" t="s">
        <v>91</v>
      </c>
      <c r="M55" t="s">
        <v>92</v>
      </c>
      <c r="N55" t="s">
        <v>94</v>
      </c>
    </row>
    <row r="56" spans="1:15" x14ac:dyDescent="0.25">
      <c r="A56" t="s">
        <v>108</v>
      </c>
      <c r="B56" t="s">
        <v>85</v>
      </c>
      <c r="C56" t="s">
        <v>16</v>
      </c>
      <c r="D56" s="6">
        <v>46079</v>
      </c>
      <c r="E56" s="2">
        <f t="shared" si="0"/>
        <v>46109</v>
      </c>
      <c r="F56">
        <f t="shared" ca="1" si="1"/>
        <v>2</v>
      </c>
      <c r="G56">
        <v>5</v>
      </c>
      <c r="H56">
        <v>35</v>
      </c>
      <c r="I56">
        <f t="shared" si="2"/>
        <v>30</v>
      </c>
      <c r="J56" t="s">
        <v>89</v>
      </c>
      <c r="K56" s="2">
        <f t="shared" ca="1" si="3"/>
        <v>46107</v>
      </c>
      <c r="L56" t="s">
        <v>91</v>
      </c>
      <c r="M56" t="s">
        <v>92</v>
      </c>
      <c r="N56" t="s">
        <v>94</v>
      </c>
    </row>
    <row r="57" spans="1:15" x14ac:dyDescent="0.25">
      <c r="A57" t="s">
        <v>106</v>
      </c>
      <c r="B57" t="s">
        <v>85</v>
      </c>
      <c r="C57" t="s">
        <v>16</v>
      </c>
      <c r="D57" s="6">
        <v>46079</v>
      </c>
      <c r="E57" s="2">
        <f t="shared" si="0"/>
        <v>46109</v>
      </c>
      <c r="F57">
        <f t="shared" ca="1" si="1"/>
        <v>2</v>
      </c>
      <c r="G57">
        <v>5</v>
      </c>
      <c r="H57">
        <v>35</v>
      </c>
      <c r="I57">
        <f t="shared" si="2"/>
        <v>30</v>
      </c>
      <c r="J57" t="s">
        <v>89</v>
      </c>
      <c r="K57" s="2">
        <f t="shared" ca="1" si="3"/>
        <v>46107</v>
      </c>
      <c r="L57" t="s">
        <v>91</v>
      </c>
      <c r="M57" t="s">
        <v>92</v>
      </c>
      <c r="N57" t="s">
        <v>94</v>
      </c>
    </row>
    <row r="58" spans="1:15" x14ac:dyDescent="0.25">
      <c r="A58" t="s">
        <v>109</v>
      </c>
      <c r="B58" t="s">
        <v>85</v>
      </c>
      <c r="C58" t="s">
        <v>16</v>
      </c>
      <c r="D58" s="6">
        <v>46079</v>
      </c>
      <c r="E58" s="2">
        <f t="shared" si="0"/>
        <v>46109</v>
      </c>
      <c r="F58">
        <f t="shared" ca="1" si="1"/>
        <v>2</v>
      </c>
      <c r="G58">
        <v>5</v>
      </c>
      <c r="H58">
        <v>35</v>
      </c>
      <c r="I58">
        <f t="shared" si="2"/>
        <v>30</v>
      </c>
      <c r="J58" t="s">
        <v>89</v>
      </c>
      <c r="K58" s="2">
        <f t="shared" ca="1" si="3"/>
        <v>46107</v>
      </c>
      <c r="L58" t="s">
        <v>91</v>
      </c>
      <c r="M58" t="s">
        <v>92</v>
      </c>
      <c r="N58" t="s">
        <v>94</v>
      </c>
    </row>
    <row r="59" spans="1:15" x14ac:dyDescent="0.25">
      <c r="A59" t="s">
        <v>101</v>
      </c>
      <c r="B59" t="s">
        <v>85</v>
      </c>
      <c r="C59" t="s">
        <v>16</v>
      </c>
      <c r="D59" s="6">
        <v>46079</v>
      </c>
      <c r="E59" s="2">
        <f t="shared" si="0"/>
        <v>46109</v>
      </c>
      <c r="F59">
        <f t="shared" ca="1" si="1"/>
        <v>2</v>
      </c>
      <c r="G59">
        <v>5</v>
      </c>
      <c r="H59">
        <v>35</v>
      </c>
      <c r="I59">
        <f t="shared" si="2"/>
        <v>30</v>
      </c>
      <c r="J59" t="s">
        <v>89</v>
      </c>
      <c r="K59" s="2">
        <f t="shared" ca="1" si="3"/>
        <v>46107</v>
      </c>
      <c r="L59" t="s">
        <v>91</v>
      </c>
      <c r="M59" t="s">
        <v>92</v>
      </c>
      <c r="N59" t="s">
        <v>94</v>
      </c>
    </row>
    <row r="60" spans="1:15" x14ac:dyDescent="0.25">
      <c r="A60" t="s">
        <v>100</v>
      </c>
      <c r="B60" t="s">
        <v>85</v>
      </c>
      <c r="C60" t="s">
        <v>16</v>
      </c>
      <c r="D60" s="6">
        <v>46079</v>
      </c>
      <c r="E60" s="2">
        <f t="shared" si="0"/>
        <v>46109</v>
      </c>
      <c r="F60">
        <f t="shared" ca="1" si="1"/>
        <v>2</v>
      </c>
      <c r="G60">
        <v>5</v>
      </c>
      <c r="H60">
        <v>35</v>
      </c>
      <c r="I60">
        <f t="shared" si="2"/>
        <v>30</v>
      </c>
      <c r="J60" t="s">
        <v>89</v>
      </c>
      <c r="K60" s="2">
        <f t="shared" ca="1" si="3"/>
        <v>46107</v>
      </c>
      <c r="L60" t="s">
        <v>91</v>
      </c>
      <c r="M60" t="s">
        <v>92</v>
      </c>
      <c r="N60" t="s">
        <v>94</v>
      </c>
    </row>
    <row r="61" spans="1:15" ht="16.5" x14ac:dyDescent="0.25">
      <c r="A61" s="5" t="s">
        <v>110</v>
      </c>
      <c r="B61" t="s">
        <v>85</v>
      </c>
      <c r="C61" t="s">
        <v>16</v>
      </c>
      <c r="D61" s="6">
        <v>46079</v>
      </c>
      <c r="E61" s="2">
        <f t="shared" si="0"/>
        <v>46109</v>
      </c>
      <c r="F61">
        <f t="shared" ca="1" si="1"/>
        <v>2</v>
      </c>
      <c r="G61">
        <v>5</v>
      </c>
      <c r="H61">
        <v>35</v>
      </c>
      <c r="I61">
        <f t="shared" si="2"/>
        <v>30</v>
      </c>
      <c r="J61" t="s">
        <v>89</v>
      </c>
      <c r="K61" s="2">
        <f t="shared" ca="1" si="3"/>
        <v>46107</v>
      </c>
      <c r="L61" t="s">
        <v>91</v>
      </c>
      <c r="M61" t="s">
        <v>92</v>
      </c>
      <c r="N61" t="s">
        <v>94</v>
      </c>
    </row>
    <row r="62" spans="1:15" x14ac:dyDescent="0.25">
      <c r="A62" t="s">
        <v>111</v>
      </c>
      <c r="B62" t="s">
        <v>85</v>
      </c>
      <c r="C62" t="s">
        <v>16</v>
      </c>
      <c r="D62" s="6">
        <v>46079</v>
      </c>
      <c r="E62" s="2">
        <f t="shared" si="0"/>
        <v>46109</v>
      </c>
      <c r="F62">
        <f t="shared" ca="1" si="1"/>
        <v>2</v>
      </c>
      <c r="G62">
        <v>5</v>
      </c>
      <c r="H62">
        <v>35</v>
      </c>
      <c r="I62">
        <f t="shared" si="2"/>
        <v>30</v>
      </c>
      <c r="J62" t="s">
        <v>89</v>
      </c>
      <c r="K62" s="2">
        <f t="shared" ca="1" si="3"/>
        <v>46107</v>
      </c>
      <c r="L62" t="s">
        <v>91</v>
      </c>
      <c r="M62" t="s">
        <v>92</v>
      </c>
      <c r="N62" t="s">
        <v>94</v>
      </c>
    </row>
    <row r="63" spans="1:15" x14ac:dyDescent="0.25">
      <c r="A63" s="3" t="s">
        <v>112</v>
      </c>
      <c r="B63" t="s">
        <v>85</v>
      </c>
      <c r="C63" t="s">
        <v>20</v>
      </c>
      <c r="D63" s="6">
        <v>46079</v>
      </c>
      <c r="E63" s="2">
        <f t="shared" si="0"/>
        <v>46444</v>
      </c>
      <c r="F63">
        <f t="shared" ca="1" si="1"/>
        <v>337</v>
      </c>
      <c r="G63">
        <v>40</v>
      </c>
      <c r="H63">
        <v>300</v>
      </c>
      <c r="I63">
        <f t="shared" si="2"/>
        <v>260</v>
      </c>
      <c r="J63" t="s">
        <v>89</v>
      </c>
      <c r="K63" s="2">
        <f t="shared" ca="1" si="3"/>
        <v>46107</v>
      </c>
      <c r="L63" t="s">
        <v>91</v>
      </c>
      <c r="M63" t="s">
        <v>92</v>
      </c>
      <c r="N63" t="s">
        <v>94</v>
      </c>
    </row>
    <row r="64" spans="1:15" x14ac:dyDescent="0.25">
      <c r="A64" t="s">
        <v>113</v>
      </c>
      <c r="B64" t="s">
        <v>85</v>
      </c>
      <c r="C64" t="s">
        <v>16</v>
      </c>
      <c r="D64" s="6">
        <v>46079</v>
      </c>
      <c r="E64" s="2">
        <f t="shared" si="0"/>
        <v>46109</v>
      </c>
      <c r="F64">
        <f t="shared" ca="1" si="1"/>
        <v>2</v>
      </c>
      <c r="G64">
        <v>5</v>
      </c>
      <c r="H64">
        <v>35</v>
      </c>
      <c r="I64">
        <f t="shared" si="2"/>
        <v>30</v>
      </c>
      <c r="J64" t="s">
        <v>89</v>
      </c>
      <c r="K64" s="2">
        <f t="shared" ca="1" si="3"/>
        <v>46107</v>
      </c>
      <c r="L64" t="s">
        <v>91</v>
      </c>
      <c r="M64" t="s">
        <v>92</v>
      </c>
      <c r="N64" t="s">
        <v>94</v>
      </c>
    </row>
    <row r="65" spans="1:14" x14ac:dyDescent="0.25">
      <c r="A65" t="s">
        <v>121</v>
      </c>
      <c r="B65" t="s">
        <v>85</v>
      </c>
      <c r="C65" t="s">
        <v>16</v>
      </c>
      <c r="D65" s="6">
        <v>46080</v>
      </c>
      <c r="E65" s="2">
        <f t="shared" si="0"/>
        <v>46110</v>
      </c>
      <c r="F65">
        <f t="shared" ca="1" si="1"/>
        <v>3</v>
      </c>
      <c r="G65">
        <v>5</v>
      </c>
      <c r="H65">
        <v>35</v>
      </c>
      <c r="I65">
        <f t="shared" si="2"/>
        <v>30</v>
      </c>
      <c r="J65" t="s">
        <v>89</v>
      </c>
      <c r="K65" s="2">
        <f t="shared" ca="1" si="3"/>
        <v>46107</v>
      </c>
      <c r="L65" t="s">
        <v>91</v>
      </c>
      <c r="M65" t="s">
        <v>92</v>
      </c>
      <c r="N65" t="s">
        <v>94</v>
      </c>
    </row>
    <row r="66" spans="1:14" x14ac:dyDescent="0.25">
      <c r="A66" s="3" t="s">
        <v>115</v>
      </c>
      <c r="B66" t="s">
        <v>85</v>
      </c>
      <c r="C66" t="s">
        <v>16</v>
      </c>
      <c r="D66" s="6">
        <v>46080</v>
      </c>
      <c r="E66" s="2">
        <f t="shared" ref="E66:E129" si="5">IF(C66&lt;&gt;"",D66+VLOOKUP(C66,$T$2:$U$6,2,FALSE),"")</f>
        <v>46110</v>
      </c>
      <c r="F66">
        <f t="shared" ref="F66:F129" ca="1" si="6">IF(E66&lt;&gt;"",E66-TODAY(),"")</f>
        <v>3</v>
      </c>
      <c r="G66">
        <v>5</v>
      </c>
      <c r="H66">
        <v>35</v>
      </c>
      <c r="I66">
        <f t="shared" ref="I66:I129" si="7">IF(H66&lt;&gt;"",H66-G66,"")</f>
        <v>30</v>
      </c>
      <c r="J66" t="s">
        <v>89</v>
      </c>
      <c r="K66" s="2">
        <f t="shared" ref="K66:K118" ca="1" si="8">IF(J66&lt;&gt;"",TODAY(),"")</f>
        <v>46107</v>
      </c>
      <c r="L66" t="s">
        <v>91</v>
      </c>
      <c r="M66" t="s">
        <v>92</v>
      </c>
      <c r="N66" t="s">
        <v>94</v>
      </c>
    </row>
    <row r="67" spans="1:14" x14ac:dyDescent="0.25">
      <c r="A67" s="3" t="s">
        <v>116</v>
      </c>
      <c r="B67" t="s">
        <v>85</v>
      </c>
      <c r="C67" t="s">
        <v>20</v>
      </c>
      <c r="D67" s="6">
        <v>46080</v>
      </c>
      <c r="E67" s="2">
        <f t="shared" si="5"/>
        <v>46445</v>
      </c>
      <c r="F67">
        <f t="shared" ca="1" si="6"/>
        <v>338</v>
      </c>
      <c r="G67">
        <v>40</v>
      </c>
      <c r="H67">
        <v>200</v>
      </c>
      <c r="I67">
        <f t="shared" si="7"/>
        <v>160</v>
      </c>
      <c r="J67" t="s">
        <v>89</v>
      </c>
      <c r="K67" s="2">
        <f t="shared" ca="1" si="8"/>
        <v>46107</v>
      </c>
      <c r="L67" t="s">
        <v>91</v>
      </c>
      <c r="M67" t="s">
        <v>92</v>
      </c>
      <c r="N67" t="s">
        <v>94</v>
      </c>
    </row>
    <row r="68" spans="1:14" x14ac:dyDescent="0.25">
      <c r="A68" s="3" t="s">
        <v>117</v>
      </c>
      <c r="B68" t="s">
        <v>85</v>
      </c>
      <c r="C68" t="s">
        <v>20</v>
      </c>
      <c r="D68" s="6">
        <v>46080</v>
      </c>
      <c r="E68" s="2">
        <f t="shared" si="5"/>
        <v>46445</v>
      </c>
      <c r="F68">
        <f t="shared" ca="1" si="6"/>
        <v>338</v>
      </c>
      <c r="G68">
        <v>40</v>
      </c>
      <c r="H68">
        <v>200</v>
      </c>
      <c r="I68">
        <f t="shared" si="7"/>
        <v>160</v>
      </c>
      <c r="J68" t="s">
        <v>89</v>
      </c>
      <c r="K68" s="2">
        <f t="shared" ca="1" si="8"/>
        <v>46107</v>
      </c>
      <c r="L68" t="s">
        <v>91</v>
      </c>
      <c r="M68" t="s">
        <v>92</v>
      </c>
      <c r="N68" t="s">
        <v>94</v>
      </c>
    </row>
    <row r="69" spans="1:14" x14ac:dyDescent="0.25">
      <c r="A69" t="s">
        <v>118</v>
      </c>
      <c r="B69" t="s">
        <v>85</v>
      </c>
      <c r="C69" t="s">
        <v>16</v>
      </c>
      <c r="D69" s="6">
        <v>46080</v>
      </c>
      <c r="E69" s="2">
        <f t="shared" si="5"/>
        <v>46110</v>
      </c>
      <c r="F69">
        <f t="shared" ca="1" si="6"/>
        <v>3</v>
      </c>
      <c r="G69">
        <v>5</v>
      </c>
      <c r="H69">
        <v>35</v>
      </c>
      <c r="I69">
        <f t="shared" si="7"/>
        <v>30</v>
      </c>
      <c r="J69" t="s">
        <v>89</v>
      </c>
      <c r="K69" s="2">
        <f t="shared" ca="1" si="8"/>
        <v>46107</v>
      </c>
      <c r="L69" t="s">
        <v>91</v>
      </c>
      <c r="M69" t="s">
        <v>92</v>
      </c>
      <c r="N69" t="s">
        <v>94</v>
      </c>
    </row>
    <row r="70" spans="1:14" x14ac:dyDescent="0.25">
      <c r="A70" t="s">
        <v>119</v>
      </c>
      <c r="B70" t="s">
        <v>30</v>
      </c>
      <c r="C70" t="s">
        <v>16</v>
      </c>
      <c r="D70" s="6">
        <v>46080</v>
      </c>
      <c r="E70" s="2">
        <f t="shared" si="5"/>
        <v>46110</v>
      </c>
      <c r="F70">
        <f t="shared" ca="1" si="6"/>
        <v>3</v>
      </c>
      <c r="G70">
        <v>5</v>
      </c>
      <c r="H70">
        <v>25</v>
      </c>
      <c r="I70">
        <f t="shared" si="7"/>
        <v>20</v>
      </c>
      <c r="J70" t="s">
        <v>89</v>
      </c>
      <c r="K70" s="2">
        <f t="shared" ca="1" si="8"/>
        <v>46107</v>
      </c>
      <c r="L70" t="s">
        <v>91</v>
      </c>
      <c r="M70" t="s">
        <v>92</v>
      </c>
      <c r="N70" t="s">
        <v>94</v>
      </c>
    </row>
    <row r="71" spans="1:14" x14ac:dyDescent="0.25">
      <c r="A71" t="s">
        <v>120</v>
      </c>
      <c r="B71" t="s">
        <v>30</v>
      </c>
      <c r="C71" t="s">
        <v>16</v>
      </c>
      <c r="D71" s="6">
        <v>46080</v>
      </c>
      <c r="E71" s="2">
        <f t="shared" si="5"/>
        <v>46110</v>
      </c>
      <c r="F71">
        <f t="shared" ca="1" si="6"/>
        <v>3</v>
      </c>
      <c r="G71">
        <v>5</v>
      </c>
      <c r="H71">
        <v>25</v>
      </c>
      <c r="I71">
        <f t="shared" si="7"/>
        <v>20</v>
      </c>
      <c r="J71" t="s">
        <v>89</v>
      </c>
      <c r="K71" s="2">
        <f t="shared" ca="1" si="8"/>
        <v>46107</v>
      </c>
      <c r="L71" t="s">
        <v>91</v>
      </c>
      <c r="M71" t="s">
        <v>92</v>
      </c>
      <c r="N71" t="s">
        <v>94</v>
      </c>
    </row>
    <row r="72" spans="1:14" x14ac:dyDescent="0.25">
      <c r="A72" t="s">
        <v>114</v>
      </c>
      <c r="B72" t="s">
        <v>85</v>
      </c>
      <c r="C72" t="s">
        <v>16</v>
      </c>
      <c r="D72" s="6">
        <v>46080</v>
      </c>
      <c r="E72" s="2">
        <f t="shared" si="5"/>
        <v>46110</v>
      </c>
      <c r="F72">
        <f t="shared" ca="1" si="6"/>
        <v>3</v>
      </c>
      <c r="G72">
        <v>5</v>
      </c>
      <c r="H72">
        <v>35</v>
      </c>
      <c r="I72">
        <f t="shared" si="7"/>
        <v>30</v>
      </c>
      <c r="J72" t="s">
        <v>89</v>
      </c>
      <c r="K72" s="2">
        <f t="shared" ca="1" si="8"/>
        <v>46107</v>
      </c>
      <c r="L72" t="s">
        <v>91</v>
      </c>
      <c r="M72" t="s">
        <v>92</v>
      </c>
      <c r="N72" t="s">
        <v>94</v>
      </c>
    </row>
    <row r="73" spans="1:14" x14ac:dyDescent="0.25">
      <c r="A73" t="s">
        <v>122</v>
      </c>
      <c r="B73" t="s">
        <v>85</v>
      </c>
      <c r="C73" t="s">
        <v>16</v>
      </c>
      <c r="D73" s="6">
        <v>46080</v>
      </c>
      <c r="E73" s="2">
        <f t="shared" si="5"/>
        <v>46110</v>
      </c>
      <c r="F73">
        <f t="shared" ca="1" si="6"/>
        <v>3</v>
      </c>
      <c r="G73">
        <v>5</v>
      </c>
      <c r="H73">
        <v>35</v>
      </c>
      <c r="I73">
        <f t="shared" si="7"/>
        <v>30</v>
      </c>
      <c r="J73" t="s">
        <v>89</v>
      </c>
      <c r="K73" s="2">
        <f t="shared" ca="1" si="8"/>
        <v>46107</v>
      </c>
      <c r="L73" t="s">
        <v>91</v>
      </c>
      <c r="M73" t="s">
        <v>92</v>
      </c>
      <c r="N73" t="s">
        <v>94</v>
      </c>
    </row>
    <row r="74" spans="1:14" x14ac:dyDescent="0.25">
      <c r="A74" t="s">
        <v>123</v>
      </c>
      <c r="B74" t="s">
        <v>85</v>
      </c>
      <c r="C74" t="s">
        <v>16</v>
      </c>
      <c r="D74" s="6">
        <v>46080</v>
      </c>
      <c r="E74" s="2">
        <f t="shared" si="5"/>
        <v>46110</v>
      </c>
      <c r="F74">
        <f t="shared" ca="1" si="6"/>
        <v>3</v>
      </c>
      <c r="G74">
        <v>5</v>
      </c>
      <c r="H74">
        <v>35</v>
      </c>
      <c r="I74">
        <f t="shared" si="7"/>
        <v>30</v>
      </c>
      <c r="J74" t="s">
        <v>89</v>
      </c>
      <c r="K74" s="2">
        <f t="shared" ca="1" si="8"/>
        <v>46107</v>
      </c>
      <c r="L74" t="s">
        <v>91</v>
      </c>
      <c r="M74" t="s">
        <v>92</v>
      </c>
      <c r="N74" t="s">
        <v>94</v>
      </c>
    </row>
    <row r="75" spans="1:14" x14ac:dyDescent="0.25">
      <c r="A75" s="3" t="s">
        <v>124</v>
      </c>
      <c r="B75" t="s">
        <v>85</v>
      </c>
      <c r="C75" t="s">
        <v>16</v>
      </c>
      <c r="D75" s="6">
        <v>46080</v>
      </c>
      <c r="E75" s="2">
        <f t="shared" si="5"/>
        <v>46110</v>
      </c>
      <c r="F75">
        <f t="shared" ca="1" si="6"/>
        <v>3</v>
      </c>
      <c r="G75">
        <v>5</v>
      </c>
      <c r="H75">
        <v>35</v>
      </c>
      <c r="I75">
        <f t="shared" si="7"/>
        <v>30</v>
      </c>
      <c r="J75" t="s">
        <v>198</v>
      </c>
      <c r="K75" s="2">
        <f t="shared" ca="1" si="8"/>
        <v>46107</v>
      </c>
      <c r="L75" t="s">
        <v>91</v>
      </c>
      <c r="M75" t="s">
        <v>92</v>
      </c>
      <c r="N75" t="s">
        <v>94</v>
      </c>
    </row>
    <row r="76" spans="1:14" x14ac:dyDescent="0.25">
      <c r="A76" t="s">
        <v>125</v>
      </c>
      <c r="B76" t="s">
        <v>85</v>
      </c>
      <c r="C76" t="s">
        <v>16</v>
      </c>
      <c r="D76" s="6">
        <v>46080</v>
      </c>
      <c r="E76" s="2">
        <f t="shared" si="5"/>
        <v>46110</v>
      </c>
      <c r="F76">
        <f t="shared" ca="1" si="6"/>
        <v>3</v>
      </c>
      <c r="G76">
        <v>5</v>
      </c>
      <c r="H76">
        <v>35</v>
      </c>
      <c r="I76">
        <f t="shared" si="7"/>
        <v>30</v>
      </c>
      <c r="J76" t="s">
        <v>89</v>
      </c>
      <c r="K76" s="2">
        <f t="shared" ca="1" si="8"/>
        <v>46107</v>
      </c>
      <c r="L76" t="s">
        <v>91</v>
      </c>
      <c r="M76" t="s">
        <v>92</v>
      </c>
      <c r="N76" t="s">
        <v>94</v>
      </c>
    </row>
    <row r="77" spans="1:14" x14ac:dyDescent="0.25">
      <c r="A77" t="s">
        <v>126</v>
      </c>
      <c r="B77" t="s">
        <v>85</v>
      </c>
      <c r="C77" t="s">
        <v>16</v>
      </c>
      <c r="D77" s="6">
        <v>46081</v>
      </c>
      <c r="E77" s="2">
        <f t="shared" si="5"/>
        <v>46111</v>
      </c>
      <c r="F77">
        <f t="shared" ca="1" si="6"/>
        <v>4</v>
      </c>
      <c r="G77">
        <v>5</v>
      </c>
      <c r="H77">
        <v>35</v>
      </c>
      <c r="I77">
        <f t="shared" si="7"/>
        <v>30</v>
      </c>
      <c r="J77" t="s">
        <v>89</v>
      </c>
      <c r="K77" s="2">
        <f t="shared" ca="1" si="8"/>
        <v>46107</v>
      </c>
      <c r="L77" t="s">
        <v>91</v>
      </c>
      <c r="M77" t="s">
        <v>92</v>
      </c>
      <c r="N77" t="s">
        <v>94</v>
      </c>
    </row>
    <row r="78" spans="1:14" x14ac:dyDescent="0.25">
      <c r="A78" t="s">
        <v>130</v>
      </c>
      <c r="B78" t="s">
        <v>85</v>
      </c>
      <c r="C78" t="s">
        <v>16</v>
      </c>
      <c r="D78" s="6">
        <v>46081</v>
      </c>
      <c r="E78" s="2">
        <f t="shared" si="5"/>
        <v>46111</v>
      </c>
      <c r="F78">
        <f t="shared" ca="1" si="6"/>
        <v>4</v>
      </c>
      <c r="G78">
        <v>5</v>
      </c>
      <c r="H78">
        <v>35</v>
      </c>
      <c r="I78">
        <f t="shared" si="7"/>
        <v>30</v>
      </c>
      <c r="J78" t="s">
        <v>89</v>
      </c>
      <c r="K78" s="2">
        <f t="shared" ca="1" si="8"/>
        <v>46107</v>
      </c>
      <c r="L78" t="s">
        <v>91</v>
      </c>
      <c r="M78" t="s">
        <v>92</v>
      </c>
      <c r="N78" t="s">
        <v>94</v>
      </c>
    </row>
    <row r="79" spans="1:14" x14ac:dyDescent="0.25">
      <c r="A79" t="s">
        <v>127</v>
      </c>
      <c r="B79" t="s">
        <v>85</v>
      </c>
      <c r="C79" t="s">
        <v>16</v>
      </c>
      <c r="D79" s="6">
        <v>46081</v>
      </c>
      <c r="E79" s="2">
        <f t="shared" si="5"/>
        <v>46111</v>
      </c>
      <c r="F79">
        <f t="shared" ca="1" si="6"/>
        <v>4</v>
      </c>
      <c r="G79">
        <v>5</v>
      </c>
      <c r="H79">
        <v>35</v>
      </c>
      <c r="I79">
        <f t="shared" si="7"/>
        <v>30</v>
      </c>
      <c r="J79" t="s">
        <v>89</v>
      </c>
      <c r="K79" s="2">
        <f t="shared" ca="1" si="8"/>
        <v>46107</v>
      </c>
      <c r="L79" t="s">
        <v>91</v>
      </c>
      <c r="M79" t="s">
        <v>92</v>
      </c>
      <c r="N79" t="s">
        <v>94</v>
      </c>
    </row>
    <row r="80" spans="1:14" x14ac:dyDescent="0.25">
      <c r="A80" t="s">
        <v>128</v>
      </c>
      <c r="B80" t="s">
        <v>85</v>
      </c>
      <c r="C80" t="s">
        <v>16</v>
      </c>
      <c r="D80" s="6">
        <v>46081</v>
      </c>
      <c r="E80" s="2">
        <f t="shared" si="5"/>
        <v>46111</v>
      </c>
      <c r="F80">
        <f t="shared" ca="1" si="6"/>
        <v>4</v>
      </c>
      <c r="G80">
        <v>5</v>
      </c>
      <c r="H80">
        <v>35</v>
      </c>
      <c r="I80">
        <f t="shared" si="7"/>
        <v>30</v>
      </c>
      <c r="J80" t="s">
        <v>89</v>
      </c>
      <c r="K80" s="2">
        <f t="shared" ca="1" si="8"/>
        <v>46107</v>
      </c>
      <c r="L80" t="s">
        <v>91</v>
      </c>
      <c r="M80" t="s">
        <v>92</v>
      </c>
      <c r="N80" t="s">
        <v>94</v>
      </c>
    </row>
    <row r="81" spans="1:14" x14ac:dyDescent="0.25">
      <c r="A81" t="s">
        <v>129</v>
      </c>
      <c r="B81" t="s">
        <v>30</v>
      </c>
      <c r="C81" t="s">
        <v>16</v>
      </c>
      <c r="D81" s="6">
        <v>46081</v>
      </c>
      <c r="E81" s="2">
        <f t="shared" si="5"/>
        <v>46111</v>
      </c>
      <c r="F81">
        <f t="shared" ca="1" si="6"/>
        <v>4</v>
      </c>
      <c r="G81">
        <v>5</v>
      </c>
      <c r="H81">
        <v>25</v>
      </c>
      <c r="I81">
        <f t="shared" si="7"/>
        <v>20</v>
      </c>
      <c r="J81" t="s">
        <v>89</v>
      </c>
      <c r="K81" s="2">
        <f t="shared" ca="1" si="8"/>
        <v>46107</v>
      </c>
      <c r="L81" t="s">
        <v>91</v>
      </c>
      <c r="M81" t="s">
        <v>92</v>
      </c>
      <c r="N81" t="s">
        <v>94</v>
      </c>
    </row>
    <row r="82" spans="1:14" ht="15.75" thickBot="1" x14ac:dyDescent="0.3">
      <c r="A82" s="7" t="s">
        <v>131</v>
      </c>
      <c r="B82" t="s">
        <v>30</v>
      </c>
      <c r="C82" t="s">
        <v>16</v>
      </c>
      <c r="D82" s="6">
        <v>46081</v>
      </c>
      <c r="E82" s="2">
        <f t="shared" si="5"/>
        <v>46111</v>
      </c>
      <c r="F82">
        <f t="shared" ca="1" si="6"/>
        <v>4</v>
      </c>
      <c r="G82">
        <v>5</v>
      </c>
      <c r="H82">
        <v>25</v>
      </c>
      <c r="I82">
        <f t="shared" si="7"/>
        <v>20</v>
      </c>
      <c r="J82" t="s">
        <v>89</v>
      </c>
      <c r="K82" s="2">
        <f t="shared" ca="1" si="8"/>
        <v>46107</v>
      </c>
      <c r="L82" t="s">
        <v>91</v>
      </c>
      <c r="M82" t="s">
        <v>92</v>
      </c>
      <c r="N82" t="s">
        <v>94</v>
      </c>
    </row>
    <row r="83" spans="1:14" ht="16.5" x14ac:dyDescent="0.25">
      <c r="A83" s="5" t="s">
        <v>132</v>
      </c>
      <c r="B83" t="s">
        <v>85</v>
      </c>
      <c r="C83" t="s">
        <v>16</v>
      </c>
      <c r="D83" s="8">
        <v>46081</v>
      </c>
      <c r="E83" s="2">
        <f t="shared" si="5"/>
        <v>46111</v>
      </c>
      <c r="F83">
        <f t="shared" ca="1" si="6"/>
        <v>4</v>
      </c>
      <c r="G83">
        <v>5</v>
      </c>
      <c r="H83">
        <v>35</v>
      </c>
      <c r="I83">
        <f t="shared" si="7"/>
        <v>30</v>
      </c>
      <c r="J83" t="s">
        <v>89</v>
      </c>
      <c r="K83" s="2">
        <f t="shared" ca="1" si="8"/>
        <v>46107</v>
      </c>
      <c r="L83" t="s">
        <v>91</v>
      </c>
      <c r="M83" t="s">
        <v>92</v>
      </c>
      <c r="N83" t="s">
        <v>94</v>
      </c>
    </row>
    <row r="84" spans="1:14" x14ac:dyDescent="0.25">
      <c r="A84" t="s">
        <v>133</v>
      </c>
      <c r="B84" t="s">
        <v>85</v>
      </c>
      <c r="C84" t="s">
        <v>16</v>
      </c>
      <c r="D84" s="6">
        <v>46082</v>
      </c>
      <c r="E84" s="2">
        <f t="shared" si="5"/>
        <v>46112</v>
      </c>
      <c r="F84">
        <f t="shared" ca="1" si="6"/>
        <v>5</v>
      </c>
      <c r="G84">
        <v>5</v>
      </c>
      <c r="H84">
        <v>35</v>
      </c>
      <c r="I84">
        <f t="shared" si="7"/>
        <v>30</v>
      </c>
      <c r="J84" t="s">
        <v>89</v>
      </c>
      <c r="K84" s="2">
        <f t="shared" ca="1" si="8"/>
        <v>46107</v>
      </c>
      <c r="L84" t="s">
        <v>91</v>
      </c>
      <c r="M84" t="s">
        <v>92</v>
      </c>
      <c r="N84" t="s">
        <v>94</v>
      </c>
    </row>
    <row r="85" spans="1:14" x14ac:dyDescent="0.25">
      <c r="A85" t="s">
        <v>134</v>
      </c>
      <c r="B85" t="s">
        <v>85</v>
      </c>
      <c r="C85" t="s">
        <v>16</v>
      </c>
      <c r="D85" s="6">
        <v>46082</v>
      </c>
      <c r="E85" s="2">
        <f t="shared" si="5"/>
        <v>46112</v>
      </c>
      <c r="F85">
        <f t="shared" ca="1" si="6"/>
        <v>5</v>
      </c>
      <c r="G85">
        <v>5</v>
      </c>
      <c r="H85">
        <v>35</v>
      </c>
      <c r="I85">
        <f t="shared" si="7"/>
        <v>30</v>
      </c>
      <c r="J85" t="s">
        <v>89</v>
      </c>
      <c r="K85" s="2">
        <f t="shared" ca="1" si="8"/>
        <v>46107</v>
      </c>
      <c r="L85" t="s">
        <v>91</v>
      </c>
      <c r="M85" t="s">
        <v>92</v>
      </c>
      <c r="N85" t="s">
        <v>94</v>
      </c>
    </row>
    <row r="86" spans="1:14" x14ac:dyDescent="0.25">
      <c r="A86" t="s">
        <v>135</v>
      </c>
      <c r="B86" t="s">
        <v>85</v>
      </c>
      <c r="C86" t="s">
        <v>16</v>
      </c>
      <c r="D86" s="6">
        <v>46082</v>
      </c>
      <c r="E86" s="2">
        <f t="shared" si="5"/>
        <v>46112</v>
      </c>
      <c r="F86">
        <f t="shared" ca="1" si="6"/>
        <v>5</v>
      </c>
      <c r="G86">
        <v>5</v>
      </c>
      <c r="H86">
        <v>35</v>
      </c>
      <c r="I86">
        <f t="shared" si="7"/>
        <v>30</v>
      </c>
      <c r="J86" t="s">
        <v>89</v>
      </c>
      <c r="K86" s="2">
        <f t="shared" ca="1" si="8"/>
        <v>46107</v>
      </c>
      <c r="L86" t="s">
        <v>91</v>
      </c>
      <c r="M86" t="s">
        <v>92</v>
      </c>
      <c r="N86" t="s">
        <v>94</v>
      </c>
    </row>
    <row r="87" spans="1:14" x14ac:dyDescent="0.25">
      <c r="A87" t="s">
        <v>136</v>
      </c>
      <c r="B87" t="s">
        <v>85</v>
      </c>
      <c r="C87" t="s">
        <v>16</v>
      </c>
      <c r="D87" s="6">
        <v>46082</v>
      </c>
      <c r="E87" s="2">
        <f t="shared" si="5"/>
        <v>46112</v>
      </c>
      <c r="F87">
        <f t="shared" ca="1" si="6"/>
        <v>5</v>
      </c>
      <c r="G87">
        <v>5</v>
      </c>
      <c r="H87">
        <v>35</v>
      </c>
      <c r="I87">
        <f t="shared" si="7"/>
        <v>30</v>
      </c>
      <c r="J87" t="s">
        <v>89</v>
      </c>
      <c r="K87" s="2">
        <f t="shared" ca="1" si="8"/>
        <v>46107</v>
      </c>
      <c r="L87" t="s">
        <v>91</v>
      </c>
      <c r="M87" t="s">
        <v>92</v>
      </c>
      <c r="N87" t="s">
        <v>94</v>
      </c>
    </row>
    <row r="88" spans="1:14" x14ac:dyDescent="0.25">
      <c r="A88" t="s">
        <v>137</v>
      </c>
      <c r="B88" t="s">
        <v>85</v>
      </c>
      <c r="C88" t="s">
        <v>16</v>
      </c>
      <c r="D88" s="6">
        <v>46082</v>
      </c>
      <c r="E88" s="2">
        <f t="shared" si="5"/>
        <v>46112</v>
      </c>
      <c r="F88">
        <f t="shared" ca="1" si="6"/>
        <v>5</v>
      </c>
      <c r="G88">
        <v>5</v>
      </c>
      <c r="H88">
        <v>35</v>
      </c>
      <c r="I88">
        <f t="shared" si="7"/>
        <v>30</v>
      </c>
      <c r="J88" t="s">
        <v>89</v>
      </c>
      <c r="K88" s="2">
        <f t="shared" ca="1" si="8"/>
        <v>46107</v>
      </c>
      <c r="L88" t="s">
        <v>91</v>
      </c>
      <c r="M88" t="s">
        <v>92</v>
      </c>
      <c r="N88" t="s">
        <v>94</v>
      </c>
    </row>
    <row r="89" spans="1:14" x14ac:dyDescent="0.25">
      <c r="A89" s="3" t="s">
        <v>138</v>
      </c>
      <c r="B89" t="s">
        <v>85</v>
      </c>
      <c r="C89" t="s">
        <v>20</v>
      </c>
      <c r="D89" s="6">
        <v>46082</v>
      </c>
      <c r="E89" s="2">
        <f t="shared" si="5"/>
        <v>46447</v>
      </c>
      <c r="F89">
        <f t="shared" ca="1" si="6"/>
        <v>340</v>
      </c>
      <c r="G89">
        <v>40</v>
      </c>
      <c r="H89">
        <v>200</v>
      </c>
      <c r="I89">
        <f t="shared" si="7"/>
        <v>160</v>
      </c>
      <c r="J89" t="s">
        <v>89</v>
      </c>
      <c r="K89" s="2">
        <f t="shared" ca="1" si="8"/>
        <v>46107</v>
      </c>
      <c r="L89" t="s">
        <v>91</v>
      </c>
      <c r="M89" t="s">
        <v>92</v>
      </c>
      <c r="N89" t="s">
        <v>94</v>
      </c>
    </row>
    <row r="90" spans="1:14" x14ac:dyDescent="0.25">
      <c r="A90" t="s">
        <v>139</v>
      </c>
      <c r="B90" t="s">
        <v>85</v>
      </c>
      <c r="C90" t="s">
        <v>16</v>
      </c>
      <c r="D90" s="6">
        <v>46082</v>
      </c>
      <c r="E90" s="2">
        <f t="shared" si="5"/>
        <v>46112</v>
      </c>
      <c r="F90">
        <f t="shared" ca="1" si="6"/>
        <v>5</v>
      </c>
      <c r="G90">
        <v>5</v>
      </c>
      <c r="H90">
        <v>35</v>
      </c>
      <c r="I90">
        <f t="shared" si="7"/>
        <v>30</v>
      </c>
      <c r="J90" t="s">
        <v>89</v>
      </c>
      <c r="K90" s="2">
        <f t="shared" ca="1" si="8"/>
        <v>46107</v>
      </c>
      <c r="L90" t="s">
        <v>91</v>
      </c>
      <c r="M90" t="s">
        <v>92</v>
      </c>
      <c r="N90" t="s">
        <v>94</v>
      </c>
    </row>
    <row r="91" spans="1:14" x14ac:dyDescent="0.25">
      <c r="A91" t="s">
        <v>141</v>
      </c>
      <c r="B91" t="s">
        <v>85</v>
      </c>
      <c r="C91" t="s">
        <v>16</v>
      </c>
      <c r="D91" s="6">
        <v>46082</v>
      </c>
      <c r="E91" s="2">
        <f t="shared" si="5"/>
        <v>46112</v>
      </c>
      <c r="F91">
        <f t="shared" ca="1" si="6"/>
        <v>5</v>
      </c>
      <c r="G91">
        <v>5</v>
      </c>
      <c r="H91">
        <v>35</v>
      </c>
      <c r="I91">
        <f t="shared" si="7"/>
        <v>30</v>
      </c>
      <c r="J91" t="s">
        <v>89</v>
      </c>
      <c r="K91" s="2">
        <f t="shared" ca="1" si="8"/>
        <v>46107</v>
      </c>
      <c r="L91" t="s">
        <v>91</v>
      </c>
      <c r="M91" t="s">
        <v>92</v>
      </c>
      <c r="N91" t="s">
        <v>94</v>
      </c>
    </row>
    <row r="92" spans="1:14" x14ac:dyDescent="0.25">
      <c r="A92" t="s">
        <v>142</v>
      </c>
      <c r="B92" t="s">
        <v>85</v>
      </c>
      <c r="C92" t="s">
        <v>16</v>
      </c>
      <c r="D92" s="6">
        <v>46084</v>
      </c>
      <c r="E92" s="2">
        <f t="shared" si="5"/>
        <v>46114</v>
      </c>
      <c r="F92">
        <f t="shared" ca="1" si="6"/>
        <v>7</v>
      </c>
      <c r="G92">
        <v>5</v>
      </c>
      <c r="H92">
        <v>35</v>
      </c>
      <c r="I92">
        <f t="shared" si="7"/>
        <v>30</v>
      </c>
      <c r="J92" t="s">
        <v>89</v>
      </c>
      <c r="K92" s="2">
        <f t="shared" ca="1" si="8"/>
        <v>46107</v>
      </c>
      <c r="L92" t="s">
        <v>91</v>
      </c>
      <c r="M92" t="s">
        <v>92</v>
      </c>
      <c r="N92" t="s">
        <v>94</v>
      </c>
    </row>
    <row r="93" spans="1:14" x14ac:dyDescent="0.25">
      <c r="A93" t="s">
        <v>143</v>
      </c>
      <c r="B93" t="s">
        <v>85</v>
      </c>
      <c r="C93" t="s">
        <v>16</v>
      </c>
      <c r="D93" s="6">
        <v>46084</v>
      </c>
      <c r="E93" s="2">
        <f t="shared" si="5"/>
        <v>46114</v>
      </c>
      <c r="F93">
        <f t="shared" ca="1" si="6"/>
        <v>7</v>
      </c>
      <c r="G93">
        <v>5</v>
      </c>
      <c r="H93">
        <v>35</v>
      </c>
      <c r="I93">
        <f t="shared" si="7"/>
        <v>30</v>
      </c>
      <c r="J93" t="s">
        <v>89</v>
      </c>
      <c r="K93" s="2">
        <f t="shared" ca="1" si="8"/>
        <v>46107</v>
      </c>
      <c r="L93" t="s">
        <v>91</v>
      </c>
      <c r="M93" t="s">
        <v>92</v>
      </c>
      <c r="N93" t="s">
        <v>94</v>
      </c>
    </row>
    <row r="94" spans="1:14" x14ac:dyDescent="0.25">
      <c r="A94" t="s">
        <v>144</v>
      </c>
      <c r="B94" t="s">
        <v>85</v>
      </c>
      <c r="C94" t="s">
        <v>16</v>
      </c>
      <c r="D94" s="6">
        <v>46084</v>
      </c>
      <c r="E94" s="2">
        <f t="shared" si="5"/>
        <v>46114</v>
      </c>
      <c r="F94">
        <f t="shared" ca="1" si="6"/>
        <v>7</v>
      </c>
      <c r="G94">
        <v>5</v>
      </c>
      <c r="H94">
        <v>35</v>
      </c>
      <c r="I94">
        <f t="shared" si="7"/>
        <v>30</v>
      </c>
      <c r="J94" t="s">
        <v>89</v>
      </c>
      <c r="K94" s="2">
        <f t="shared" ca="1" si="8"/>
        <v>46107</v>
      </c>
      <c r="L94" t="s">
        <v>91</v>
      </c>
      <c r="M94" t="s">
        <v>92</v>
      </c>
      <c r="N94" t="s">
        <v>94</v>
      </c>
    </row>
    <row r="95" spans="1:14" x14ac:dyDescent="0.25">
      <c r="A95" t="s">
        <v>145</v>
      </c>
      <c r="B95" t="s">
        <v>85</v>
      </c>
      <c r="C95" t="s">
        <v>16</v>
      </c>
      <c r="D95" s="6">
        <v>46084</v>
      </c>
      <c r="E95" s="2">
        <f t="shared" si="5"/>
        <v>46114</v>
      </c>
      <c r="F95">
        <f t="shared" ca="1" si="6"/>
        <v>7</v>
      </c>
      <c r="G95">
        <v>5</v>
      </c>
      <c r="H95">
        <v>35</v>
      </c>
      <c r="I95">
        <f t="shared" si="7"/>
        <v>30</v>
      </c>
      <c r="J95" t="s">
        <v>89</v>
      </c>
      <c r="K95" s="2">
        <f t="shared" ca="1" si="8"/>
        <v>46107</v>
      </c>
      <c r="L95" t="s">
        <v>91</v>
      </c>
      <c r="M95" t="s">
        <v>92</v>
      </c>
      <c r="N95" t="s">
        <v>94</v>
      </c>
    </row>
    <row r="96" spans="1:14" x14ac:dyDescent="0.25">
      <c r="A96" t="s">
        <v>146</v>
      </c>
      <c r="B96" t="s">
        <v>85</v>
      </c>
      <c r="C96" t="s">
        <v>16</v>
      </c>
      <c r="D96" s="6">
        <v>46084</v>
      </c>
      <c r="E96" s="2">
        <f t="shared" si="5"/>
        <v>46114</v>
      </c>
      <c r="F96">
        <f t="shared" ca="1" si="6"/>
        <v>7</v>
      </c>
      <c r="G96">
        <v>5</v>
      </c>
      <c r="H96">
        <v>35</v>
      </c>
      <c r="I96">
        <f t="shared" si="7"/>
        <v>30</v>
      </c>
      <c r="J96" t="s">
        <v>89</v>
      </c>
      <c r="K96" s="2">
        <f t="shared" ca="1" si="8"/>
        <v>46107</v>
      </c>
      <c r="L96" t="s">
        <v>91</v>
      </c>
      <c r="M96" t="s">
        <v>92</v>
      </c>
      <c r="N96" t="s">
        <v>94</v>
      </c>
    </row>
    <row r="97" spans="1:14" x14ac:dyDescent="0.25">
      <c r="A97" t="s">
        <v>147</v>
      </c>
      <c r="B97" t="s">
        <v>85</v>
      </c>
      <c r="C97" t="s">
        <v>16</v>
      </c>
      <c r="D97" s="6">
        <v>46084</v>
      </c>
      <c r="E97" s="2">
        <f t="shared" si="5"/>
        <v>46114</v>
      </c>
      <c r="F97">
        <f t="shared" ca="1" si="6"/>
        <v>7</v>
      </c>
      <c r="G97">
        <v>5</v>
      </c>
      <c r="H97">
        <v>35</v>
      </c>
      <c r="I97">
        <f t="shared" si="7"/>
        <v>30</v>
      </c>
      <c r="J97" t="s">
        <v>89</v>
      </c>
      <c r="K97" s="2">
        <f t="shared" ca="1" si="8"/>
        <v>46107</v>
      </c>
      <c r="L97" t="s">
        <v>91</v>
      </c>
      <c r="M97" t="s">
        <v>92</v>
      </c>
      <c r="N97" t="s">
        <v>94</v>
      </c>
    </row>
    <row r="98" spans="1:14" x14ac:dyDescent="0.25">
      <c r="A98" t="s">
        <v>148</v>
      </c>
      <c r="B98" t="s">
        <v>85</v>
      </c>
      <c r="C98" t="s">
        <v>16</v>
      </c>
      <c r="D98" s="6">
        <v>46084</v>
      </c>
      <c r="E98" s="2">
        <f t="shared" si="5"/>
        <v>46114</v>
      </c>
      <c r="F98">
        <f t="shared" ca="1" si="6"/>
        <v>7</v>
      </c>
      <c r="G98">
        <v>5</v>
      </c>
      <c r="H98">
        <v>35</v>
      </c>
      <c r="I98">
        <f t="shared" si="7"/>
        <v>30</v>
      </c>
      <c r="J98" t="s">
        <v>89</v>
      </c>
      <c r="K98" s="2">
        <f t="shared" ca="1" si="8"/>
        <v>46107</v>
      </c>
      <c r="L98" t="s">
        <v>91</v>
      </c>
      <c r="M98" t="s">
        <v>92</v>
      </c>
      <c r="N98" t="s">
        <v>94</v>
      </c>
    </row>
    <row r="99" spans="1:14" x14ac:dyDescent="0.25">
      <c r="A99" t="s">
        <v>149</v>
      </c>
      <c r="B99" t="s">
        <v>85</v>
      </c>
      <c r="C99" t="s">
        <v>16</v>
      </c>
      <c r="D99" s="6">
        <v>46084</v>
      </c>
      <c r="E99" s="2">
        <f t="shared" si="5"/>
        <v>46114</v>
      </c>
      <c r="F99">
        <f t="shared" ca="1" si="6"/>
        <v>7</v>
      </c>
      <c r="G99">
        <v>5</v>
      </c>
      <c r="H99">
        <v>35</v>
      </c>
      <c r="I99">
        <f t="shared" si="7"/>
        <v>30</v>
      </c>
      <c r="J99" t="s">
        <v>89</v>
      </c>
      <c r="K99" s="2">
        <f t="shared" ca="1" si="8"/>
        <v>46107</v>
      </c>
      <c r="L99" t="s">
        <v>91</v>
      </c>
      <c r="M99" t="s">
        <v>92</v>
      </c>
      <c r="N99" t="s">
        <v>94</v>
      </c>
    </row>
    <row r="100" spans="1:14" x14ac:dyDescent="0.25">
      <c r="A100" t="s">
        <v>150</v>
      </c>
      <c r="B100" t="s">
        <v>30</v>
      </c>
      <c r="C100" t="s">
        <v>16</v>
      </c>
      <c r="D100" s="6">
        <v>46084</v>
      </c>
      <c r="E100" s="2">
        <f t="shared" si="5"/>
        <v>46114</v>
      </c>
      <c r="F100">
        <f t="shared" ca="1" si="6"/>
        <v>7</v>
      </c>
      <c r="G100">
        <v>5</v>
      </c>
      <c r="H100">
        <v>25</v>
      </c>
      <c r="I100">
        <f t="shared" si="7"/>
        <v>20</v>
      </c>
      <c r="J100" t="s">
        <v>89</v>
      </c>
      <c r="K100" s="2">
        <f t="shared" ca="1" si="8"/>
        <v>46107</v>
      </c>
      <c r="L100" t="s">
        <v>91</v>
      </c>
      <c r="M100" t="s">
        <v>92</v>
      </c>
      <c r="N100" t="s">
        <v>94</v>
      </c>
    </row>
    <row r="101" spans="1:14" x14ac:dyDescent="0.25">
      <c r="A101" t="s">
        <v>151</v>
      </c>
      <c r="B101" t="s">
        <v>85</v>
      </c>
      <c r="C101" t="s">
        <v>16</v>
      </c>
      <c r="D101" s="6">
        <v>46084</v>
      </c>
      <c r="E101" s="2">
        <f t="shared" si="5"/>
        <v>46114</v>
      </c>
      <c r="F101">
        <f t="shared" ca="1" si="6"/>
        <v>7</v>
      </c>
      <c r="G101">
        <v>5</v>
      </c>
      <c r="H101">
        <v>35</v>
      </c>
      <c r="I101">
        <f t="shared" si="7"/>
        <v>30</v>
      </c>
      <c r="J101" t="s">
        <v>89</v>
      </c>
      <c r="K101" s="2">
        <f t="shared" ca="1" si="8"/>
        <v>46107</v>
      </c>
      <c r="L101" t="s">
        <v>91</v>
      </c>
      <c r="M101" t="s">
        <v>92</v>
      </c>
      <c r="N101" t="s">
        <v>94</v>
      </c>
    </row>
    <row r="102" spans="1:14" x14ac:dyDescent="0.25">
      <c r="A102" t="s">
        <v>152</v>
      </c>
      <c r="B102" t="s">
        <v>85</v>
      </c>
      <c r="C102" t="s">
        <v>16</v>
      </c>
      <c r="D102" s="6">
        <v>46084</v>
      </c>
      <c r="E102" s="2">
        <f t="shared" si="5"/>
        <v>46114</v>
      </c>
      <c r="F102">
        <f t="shared" ca="1" si="6"/>
        <v>7</v>
      </c>
      <c r="G102">
        <v>5</v>
      </c>
      <c r="H102">
        <v>35</v>
      </c>
      <c r="I102">
        <f t="shared" si="7"/>
        <v>30</v>
      </c>
      <c r="J102" t="s">
        <v>89</v>
      </c>
      <c r="K102" s="2">
        <f t="shared" ca="1" si="8"/>
        <v>46107</v>
      </c>
      <c r="L102" t="s">
        <v>91</v>
      </c>
      <c r="M102" t="s">
        <v>92</v>
      </c>
      <c r="N102" t="s">
        <v>94</v>
      </c>
    </row>
    <row r="103" spans="1:14" x14ac:dyDescent="0.25">
      <c r="A103" t="s">
        <v>153</v>
      </c>
      <c r="B103" t="s">
        <v>85</v>
      </c>
      <c r="C103" t="s">
        <v>16</v>
      </c>
      <c r="D103" s="6">
        <v>46084</v>
      </c>
      <c r="E103" s="2">
        <f t="shared" si="5"/>
        <v>46114</v>
      </c>
      <c r="F103">
        <f t="shared" ca="1" si="6"/>
        <v>7</v>
      </c>
      <c r="G103">
        <v>5</v>
      </c>
      <c r="H103">
        <v>35</v>
      </c>
      <c r="I103">
        <f t="shared" si="7"/>
        <v>30</v>
      </c>
      <c r="J103" t="s">
        <v>89</v>
      </c>
      <c r="K103" s="2">
        <f t="shared" ca="1" si="8"/>
        <v>46107</v>
      </c>
      <c r="L103" t="s">
        <v>91</v>
      </c>
      <c r="M103" t="s">
        <v>92</v>
      </c>
      <c r="N103" t="s">
        <v>94</v>
      </c>
    </row>
    <row r="104" spans="1:14" x14ac:dyDescent="0.25">
      <c r="A104" t="s">
        <v>154</v>
      </c>
      <c r="B104" t="s">
        <v>85</v>
      </c>
      <c r="C104" t="s">
        <v>16</v>
      </c>
      <c r="D104" s="6">
        <v>46084</v>
      </c>
      <c r="E104" s="2">
        <f t="shared" si="5"/>
        <v>46114</v>
      </c>
      <c r="F104">
        <f t="shared" ca="1" si="6"/>
        <v>7</v>
      </c>
      <c r="G104">
        <v>5</v>
      </c>
      <c r="H104">
        <v>35</v>
      </c>
      <c r="I104">
        <f t="shared" si="7"/>
        <v>30</v>
      </c>
      <c r="J104" t="s">
        <v>89</v>
      </c>
      <c r="K104" s="2">
        <f t="shared" ca="1" si="8"/>
        <v>46107</v>
      </c>
      <c r="L104" t="s">
        <v>91</v>
      </c>
      <c r="M104" t="s">
        <v>92</v>
      </c>
      <c r="N104" t="s">
        <v>94</v>
      </c>
    </row>
    <row r="105" spans="1:14" x14ac:dyDescent="0.25">
      <c r="A105" t="s">
        <v>155</v>
      </c>
      <c r="B105" t="s">
        <v>85</v>
      </c>
      <c r="C105" t="s">
        <v>16</v>
      </c>
      <c r="D105" s="6">
        <v>46084</v>
      </c>
      <c r="E105" s="2">
        <f t="shared" si="5"/>
        <v>46114</v>
      </c>
      <c r="F105">
        <f t="shared" ca="1" si="6"/>
        <v>7</v>
      </c>
      <c r="G105">
        <v>5</v>
      </c>
      <c r="H105">
        <v>35</v>
      </c>
      <c r="I105">
        <f t="shared" si="7"/>
        <v>30</v>
      </c>
      <c r="J105" t="s">
        <v>89</v>
      </c>
      <c r="K105" s="2">
        <f t="shared" ca="1" si="8"/>
        <v>46107</v>
      </c>
      <c r="L105" t="s">
        <v>91</v>
      </c>
      <c r="M105" t="s">
        <v>92</v>
      </c>
      <c r="N105" t="s">
        <v>94</v>
      </c>
    </row>
    <row r="106" spans="1:14" x14ac:dyDescent="0.25">
      <c r="A106" t="s">
        <v>53</v>
      </c>
      <c r="B106" t="s">
        <v>30</v>
      </c>
      <c r="C106" t="s">
        <v>16</v>
      </c>
      <c r="D106" s="6">
        <v>46084</v>
      </c>
      <c r="E106" s="2">
        <f t="shared" si="5"/>
        <v>46114</v>
      </c>
      <c r="F106">
        <f t="shared" ca="1" si="6"/>
        <v>7</v>
      </c>
      <c r="G106">
        <v>5</v>
      </c>
      <c r="H106">
        <v>25</v>
      </c>
      <c r="I106">
        <f t="shared" si="7"/>
        <v>20</v>
      </c>
      <c r="J106" t="s">
        <v>89</v>
      </c>
      <c r="K106" s="2">
        <f t="shared" ca="1" si="8"/>
        <v>46107</v>
      </c>
      <c r="L106" t="s">
        <v>91</v>
      </c>
      <c r="M106" t="s">
        <v>92</v>
      </c>
      <c r="N106" t="s">
        <v>94</v>
      </c>
    </row>
    <row r="107" spans="1:14" x14ac:dyDescent="0.25">
      <c r="A107" t="s">
        <v>156</v>
      </c>
      <c r="B107" t="s">
        <v>30</v>
      </c>
      <c r="C107" t="s">
        <v>16</v>
      </c>
      <c r="D107" s="6">
        <v>46084</v>
      </c>
      <c r="E107" s="2">
        <f t="shared" si="5"/>
        <v>46114</v>
      </c>
      <c r="F107">
        <f t="shared" ca="1" si="6"/>
        <v>7</v>
      </c>
      <c r="G107">
        <v>5</v>
      </c>
      <c r="H107">
        <v>25</v>
      </c>
      <c r="I107">
        <f t="shared" si="7"/>
        <v>20</v>
      </c>
      <c r="J107" t="s">
        <v>89</v>
      </c>
      <c r="K107" s="2">
        <f t="shared" ca="1" si="8"/>
        <v>46107</v>
      </c>
      <c r="L107" t="s">
        <v>91</v>
      </c>
      <c r="M107" t="s">
        <v>92</v>
      </c>
      <c r="N107" t="s">
        <v>94</v>
      </c>
    </row>
    <row r="108" spans="1:14" x14ac:dyDescent="0.25">
      <c r="A108" s="3" t="s">
        <v>169</v>
      </c>
      <c r="B108" t="s">
        <v>177</v>
      </c>
      <c r="C108" t="s">
        <v>16</v>
      </c>
      <c r="D108" s="6">
        <v>46086</v>
      </c>
      <c r="E108" s="2">
        <f t="shared" si="5"/>
        <v>46116</v>
      </c>
      <c r="F108">
        <f t="shared" ca="1" si="6"/>
        <v>9</v>
      </c>
      <c r="G108">
        <v>10</v>
      </c>
      <c r="H108">
        <v>50</v>
      </c>
      <c r="I108">
        <f t="shared" si="7"/>
        <v>40</v>
      </c>
      <c r="J108" t="s">
        <v>89</v>
      </c>
      <c r="K108" s="2">
        <f t="shared" ca="1" si="8"/>
        <v>46107</v>
      </c>
      <c r="L108" t="s">
        <v>91</v>
      </c>
      <c r="M108" t="s">
        <v>92</v>
      </c>
      <c r="N108" t="s">
        <v>94</v>
      </c>
    </row>
    <row r="109" spans="1:14" x14ac:dyDescent="0.25">
      <c r="A109" t="s">
        <v>158</v>
      </c>
      <c r="B109" t="s">
        <v>85</v>
      </c>
      <c r="C109" t="s">
        <v>16</v>
      </c>
      <c r="D109" s="6">
        <v>46084</v>
      </c>
      <c r="E109" s="2">
        <f t="shared" si="5"/>
        <v>46114</v>
      </c>
      <c r="F109">
        <f t="shared" ca="1" si="6"/>
        <v>7</v>
      </c>
      <c r="G109">
        <v>5</v>
      </c>
      <c r="H109">
        <v>35</v>
      </c>
      <c r="I109">
        <f t="shared" si="7"/>
        <v>30</v>
      </c>
      <c r="J109" t="s">
        <v>89</v>
      </c>
      <c r="K109" s="2">
        <f t="shared" ca="1" si="8"/>
        <v>46107</v>
      </c>
      <c r="L109" t="s">
        <v>91</v>
      </c>
      <c r="M109" t="s">
        <v>92</v>
      </c>
      <c r="N109" t="s">
        <v>94</v>
      </c>
    </row>
    <row r="110" spans="1:14" x14ac:dyDescent="0.25">
      <c r="A110" t="s">
        <v>159</v>
      </c>
      <c r="B110" t="s">
        <v>85</v>
      </c>
      <c r="C110" t="s">
        <v>16</v>
      </c>
      <c r="D110" s="6">
        <v>46084</v>
      </c>
      <c r="E110" s="2">
        <f t="shared" si="5"/>
        <v>46114</v>
      </c>
      <c r="F110">
        <f t="shared" ca="1" si="6"/>
        <v>7</v>
      </c>
      <c r="G110">
        <v>5</v>
      </c>
      <c r="H110">
        <v>35</v>
      </c>
      <c r="I110">
        <f t="shared" si="7"/>
        <v>30</v>
      </c>
      <c r="J110" t="s">
        <v>89</v>
      </c>
      <c r="K110" s="2">
        <f t="shared" ca="1" si="8"/>
        <v>46107</v>
      </c>
      <c r="L110" t="s">
        <v>91</v>
      </c>
      <c r="M110" t="s">
        <v>92</v>
      </c>
      <c r="N110" t="s">
        <v>94</v>
      </c>
    </row>
    <row r="111" spans="1:14" x14ac:dyDescent="0.25">
      <c r="A111" t="s">
        <v>160</v>
      </c>
      <c r="B111" t="s">
        <v>85</v>
      </c>
      <c r="C111" t="s">
        <v>16</v>
      </c>
      <c r="D111" s="6">
        <v>46084</v>
      </c>
      <c r="E111" s="2">
        <f t="shared" si="5"/>
        <v>46114</v>
      </c>
      <c r="F111">
        <f t="shared" ca="1" si="6"/>
        <v>7</v>
      </c>
      <c r="G111">
        <v>5</v>
      </c>
      <c r="H111">
        <v>35</v>
      </c>
      <c r="I111">
        <f t="shared" si="7"/>
        <v>30</v>
      </c>
      <c r="J111" t="s">
        <v>89</v>
      </c>
      <c r="K111" s="2">
        <f t="shared" ca="1" si="8"/>
        <v>46107</v>
      </c>
      <c r="L111" t="s">
        <v>91</v>
      </c>
      <c r="M111" t="s">
        <v>92</v>
      </c>
      <c r="N111" t="s">
        <v>94</v>
      </c>
    </row>
    <row r="112" spans="1:14" x14ac:dyDescent="0.25">
      <c r="A112" t="s">
        <v>161</v>
      </c>
      <c r="B112" t="s">
        <v>85</v>
      </c>
      <c r="C112" t="s">
        <v>16</v>
      </c>
      <c r="D112" s="6">
        <v>46084</v>
      </c>
      <c r="E112" s="2">
        <f t="shared" si="5"/>
        <v>46114</v>
      </c>
      <c r="F112">
        <f t="shared" ca="1" si="6"/>
        <v>7</v>
      </c>
      <c r="G112">
        <v>5</v>
      </c>
      <c r="H112">
        <v>35</v>
      </c>
      <c r="I112">
        <f t="shared" si="7"/>
        <v>30</v>
      </c>
      <c r="J112" t="s">
        <v>89</v>
      </c>
      <c r="K112" s="2">
        <f t="shared" ca="1" si="8"/>
        <v>46107</v>
      </c>
      <c r="L112" t="s">
        <v>91</v>
      </c>
      <c r="M112" t="s">
        <v>92</v>
      </c>
      <c r="N112" t="s">
        <v>94</v>
      </c>
    </row>
    <row r="113" spans="1:14" x14ac:dyDescent="0.25">
      <c r="A113" t="s">
        <v>162</v>
      </c>
      <c r="B113" t="s">
        <v>85</v>
      </c>
      <c r="C113" t="s">
        <v>16</v>
      </c>
      <c r="D113" s="6">
        <v>46084</v>
      </c>
      <c r="E113" s="2">
        <f t="shared" si="5"/>
        <v>46114</v>
      </c>
      <c r="F113">
        <f t="shared" ca="1" si="6"/>
        <v>7</v>
      </c>
      <c r="G113">
        <v>5</v>
      </c>
      <c r="H113">
        <v>35</v>
      </c>
      <c r="I113">
        <f t="shared" si="7"/>
        <v>30</v>
      </c>
      <c r="J113" t="s">
        <v>89</v>
      </c>
      <c r="K113" s="2">
        <f t="shared" ca="1" si="8"/>
        <v>46107</v>
      </c>
      <c r="L113" t="s">
        <v>91</v>
      </c>
      <c r="M113" t="s">
        <v>92</v>
      </c>
      <c r="N113" t="s">
        <v>94</v>
      </c>
    </row>
    <row r="114" spans="1:14" x14ac:dyDescent="0.25">
      <c r="A114" t="s">
        <v>163</v>
      </c>
      <c r="B114" t="s">
        <v>88</v>
      </c>
      <c r="C114" t="s">
        <v>16</v>
      </c>
      <c r="D114" s="6">
        <v>46084</v>
      </c>
      <c r="E114" s="2">
        <f t="shared" si="5"/>
        <v>46114</v>
      </c>
      <c r="F114">
        <f t="shared" ca="1" si="6"/>
        <v>7</v>
      </c>
      <c r="G114">
        <v>20</v>
      </c>
      <c r="H114">
        <v>35</v>
      </c>
      <c r="I114">
        <f t="shared" si="7"/>
        <v>15</v>
      </c>
      <c r="J114" t="s">
        <v>89</v>
      </c>
      <c r="K114" s="2">
        <f t="shared" ca="1" si="8"/>
        <v>46107</v>
      </c>
      <c r="L114" t="s">
        <v>91</v>
      </c>
      <c r="M114" t="s">
        <v>92</v>
      </c>
      <c r="N114" t="s">
        <v>94</v>
      </c>
    </row>
    <row r="115" spans="1:14" x14ac:dyDescent="0.25">
      <c r="A115" t="s">
        <v>164</v>
      </c>
      <c r="B115" t="s">
        <v>30</v>
      </c>
      <c r="C115" t="s">
        <v>16</v>
      </c>
      <c r="D115" s="6">
        <v>46084</v>
      </c>
      <c r="E115" s="2">
        <f t="shared" si="5"/>
        <v>46114</v>
      </c>
      <c r="F115">
        <f t="shared" ca="1" si="6"/>
        <v>7</v>
      </c>
      <c r="G115">
        <v>3</v>
      </c>
      <c r="H115">
        <v>25</v>
      </c>
      <c r="I115">
        <f t="shared" si="7"/>
        <v>22</v>
      </c>
      <c r="J115" t="s">
        <v>89</v>
      </c>
      <c r="K115" s="2">
        <f t="shared" ca="1" si="8"/>
        <v>46107</v>
      </c>
      <c r="L115" t="s">
        <v>91</v>
      </c>
      <c r="M115" t="s">
        <v>92</v>
      </c>
      <c r="N115" t="s">
        <v>94</v>
      </c>
    </row>
    <row r="116" spans="1:14" x14ac:dyDescent="0.25">
      <c r="A116" t="s">
        <v>165</v>
      </c>
      <c r="B116" t="s">
        <v>85</v>
      </c>
      <c r="C116" t="s">
        <v>16</v>
      </c>
      <c r="D116" s="6">
        <v>46084</v>
      </c>
      <c r="E116" s="2">
        <f t="shared" si="5"/>
        <v>46114</v>
      </c>
      <c r="F116">
        <f t="shared" ca="1" si="6"/>
        <v>7</v>
      </c>
      <c r="G116">
        <v>5</v>
      </c>
      <c r="H116">
        <v>35</v>
      </c>
      <c r="I116">
        <f t="shared" si="7"/>
        <v>30</v>
      </c>
      <c r="J116" t="s">
        <v>89</v>
      </c>
      <c r="K116" s="2">
        <f t="shared" ca="1" si="8"/>
        <v>46107</v>
      </c>
      <c r="L116" t="s">
        <v>91</v>
      </c>
      <c r="M116" t="s">
        <v>92</v>
      </c>
      <c r="N116" t="s">
        <v>94</v>
      </c>
    </row>
    <row r="117" spans="1:14" x14ac:dyDescent="0.25">
      <c r="A117" t="s">
        <v>166</v>
      </c>
      <c r="B117" t="s">
        <v>167</v>
      </c>
      <c r="C117" t="s">
        <v>16</v>
      </c>
      <c r="D117" s="6">
        <v>46085</v>
      </c>
      <c r="E117" s="2">
        <f t="shared" si="5"/>
        <v>46115</v>
      </c>
      <c r="F117">
        <f t="shared" ca="1" si="6"/>
        <v>8</v>
      </c>
      <c r="G117">
        <v>5</v>
      </c>
      <c r="H117">
        <v>35</v>
      </c>
      <c r="I117">
        <f t="shared" si="7"/>
        <v>30</v>
      </c>
      <c r="J117" t="s">
        <v>89</v>
      </c>
      <c r="K117" s="2">
        <f t="shared" ca="1" si="8"/>
        <v>46107</v>
      </c>
      <c r="L117" t="s">
        <v>91</v>
      </c>
      <c r="M117" t="s">
        <v>92</v>
      </c>
      <c r="N117" t="s">
        <v>94</v>
      </c>
    </row>
    <row r="118" spans="1:14" x14ac:dyDescent="0.25">
      <c r="A118" t="s">
        <v>168</v>
      </c>
      <c r="B118" t="s">
        <v>177</v>
      </c>
      <c r="C118" t="s">
        <v>16</v>
      </c>
      <c r="D118" s="6">
        <v>46085</v>
      </c>
      <c r="E118" s="2">
        <f t="shared" si="5"/>
        <v>46115</v>
      </c>
      <c r="F118">
        <f t="shared" ca="1" si="6"/>
        <v>8</v>
      </c>
      <c r="G118">
        <v>10</v>
      </c>
      <c r="H118">
        <v>50</v>
      </c>
      <c r="I118">
        <f t="shared" si="7"/>
        <v>40</v>
      </c>
      <c r="J118" t="s">
        <v>89</v>
      </c>
      <c r="K118" s="2">
        <f t="shared" ca="1" si="8"/>
        <v>46107</v>
      </c>
      <c r="L118" t="s">
        <v>91</v>
      </c>
      <c r="M118" t="s">
        <v>92</v>
      </c>
      <c r="N118" t="s">
        <v>94</v>
      </c>
    </row>
    <row r="119" spans="1:14" x14ac:dyDescent="0.25">
      <c r="A119" t="s">
        <v>170</v>
      </c>
      <c r="B119" t="s">
        <v>177</v>
      </c>
      <c r="C119" t="s">
        <v>16</v>
      </c>
      <c r="D119" s="8">
        <v>46085</v>
      </c>
      <c r="E119" s="2">
        <f t="shared" si="5"/>
        <v>46115</v>
      </c>
      <c r="F119">
        <f t="shared" ca="1" si="6"/>
        <v>8</v>
      </c>
      <c r="G119">
        <v>10</v>
      </c>
      <c r="H119">
        <v>50</v>
      </c>
      <c r="I119">
        <f t="shared" si="7"/>
        <v>40</v>
      </c>
      <c r="J119" t="s">
        <v>89</v>
      </c>
      <c r="K119" s="6">
        <v>46085</v>
      </c>
      <c r="L119" t="s">
        <v>91</v>
      </c>
      <c r="M119" t="s">
        <v>92</v>
      </c>
      <c r="N119" t="s">
        <v>94</v>
      </c>
    </row>
    <row r="120" spans="1:14" x14ac:dyDescent="0.25">
      <c r="A120" t="s">
        <v>171</v>
      </c>
      <c r="B120" t="s">
        <v>85</v>
      </c>
      <c r="C120" t="s">
        <v>16</v>
      </c>
      <c r="D120" s="6">
        <v>46085</v>
      </c>
      <c r="E120" s="2">
        <f t="shared" si="5"/>
        <v>46115</v>
      </c>
      <c r="F120">
        <f t="shared" ca="1" si="6"/>
        <v>8</v>
      </c>
      <c r="G120">
        <v>5</v>
      </c>
      <c r="H120">
        <v>35</v>
      </c>
      <c r="I120">
        <f t="shared" si="7"/>
        <v>30</v>
      </c>
      <c r="J120" t="s">
        <v>89</v>
      </c>
      <c r="K120" s="6">
        <v>46085</v>
      </c>
      <c r="L120" t="s">
        <v>91</v>
      </c>
      <c r="M120" t="s">
        <v>92</v>
      </c>
      <c r="N120" t="s">
        <v>94</v>
      </c>
    </row>
    <row r="121" spans="1:14" x14ac:dyDescent="0.25">
      <c r="A121" t="s">
        <v>172</v>
      </c>
      <c r="B121" t="s">
        <v>85</v>
      </c>
      <c r="C121" t="s">
        <v>16</v>
      </c>
      <c r="D121" s="6">
        <v>46085</v>
      </c>
      <c r="E121" s="2">
        <f t="shared" si="5"/>
        <v>46115</v>
      </c>
      <c r="F121">
        <f t="shared" ca="1" si="6"/>
        <v>8</v>
      </c>
      <c r="G121">
        <v>5</v>
      </c>
      <c r="H121">
        <v>35</v>
      </c>
      <c r="I121">
        <f t="shared" si="7"/>
        <v>30</v>
      </c>
      <c r="J121" t="s">
        <v>89</v>
      </c>
      <c r="K121" s="6">
        <v>46085</v>
      </c>
      <c r="L121" t="s">
        <v>91</v>
      </c>
      <c r="M121" t="s">
        <v>92</v>
      </c>
      <c r="N121" t="s">
        <v>94</v>
      </c>
    </row>
    <row r="122" spans="1:14" x14ac:dyDescent="0.25">
      <c r="A122" s="3" t="s">
        <v>173</v>
      </c>
      <c r="B122" t="s">
        <v>85</v>
      </c>
      <c r="C122" t="s">
        <v>16</v>
      </c>
      <c r="D122" s="6">
        <v>46085</v>
      </c>
      <c r="E122" s="2">
        <f t="shared" si="5"/>
        <v>46115</v>
      </c>
      <c r="F122">
        <f t="shared" ca="1" si="6"/>
        <v>8</v>
      </c>
      <c r="G122">
        <v>5</v>
      </c>
      <c r="H122">
        <v>35</v>
      </c>
      <c r="I122">
        <f t="shared" si="7"/>
        <v>30</v>
      </c>
      <c r="J122" t="s">
        <v>198</v>
      </c>
      <c r="K122" s="6">
        <v>46085</v>
      </c>
      <c r="L122" t="s">
        <v>91</v>
      </c>
      <c r="M122" t="s">
        <v>92</v>
      </c>
      <c r="N122" t="s">
        <v>94</v>
      </c>
    </row>
    <row r="123" spans="1:14" x14ac:dyDescent="0.25">
      <c r="A123" s="3" t="s">
        <v>174</v>
      </c>
      <c r="B123" t="s">
        <v>85</v>
      </c>
      <c r="C123" t="s">
        <v>16</v>
      </c>
      <c r="D123" s="8">
        <v>46086</v>
      </c>
      <c r="E123" s="2">
        <f t="shared" si="5"/>
        <v>46116</v>
      </c>
      <c r="F123">
        <f t="shared" ca="1" si="6"/>
        <v>9</v>
      </c>
      <c r="G123">
        <v>5</v>
      </c>
      <c r="H123">
        <v>35</v>
      </c>
      <c r="I123">
        <f t="shared" si="7"/>
        <v>30</v>
      </c>
      <c r="J123" t="s">
        <v>89</v>
      </c>
      <c r="K123" s="6">
        <v>46085</v>
      </c>
      <c r="L123" t="s">
        <v>91</v>
      </c>
      <c r="M123" t="s">
        <v>92</v>
      </c>
      <c r="N123" t="s">
        <v>94</v>
      </c>
    </row>
    <row r="124" spans="1:14" x14ac:dyDescent="0.25">
      <c r="A124" t="s">
        <v>175</v>
      </c>
      <c r="B124" t="s">
        <v>85</v>
      </c>
      <c r="C124" t="s">
        <v>16</v>
      </c>
      <c r="D124" s="6">
        <v>46085</v>
      </c>
      <c r="E124" s="2">
        <f t="shared" si="5"/>
        <v>46115</v>
      </c>
      <c r="F124">
        <f t="shared" ca="1" si="6"/>
        <v>8</v>
      </c>
      <c r="G124">
        <v>5</v>
      </c>
      <c r="H124">
        <v>35</v>
      </c>
      <c r="I124">
        <f t="shared" si="7"/>
        <v>30</v>
      </c>
      <c r="J124" t="s">
        <v>89</v>
      </c>
      <c r="K124" s="6">
        <v>46085</v>
      </c>
      <c r="L124" t="s">
        <v>91</v>
      </c>
      <c r="M124" t="s">
        <v>92</v>
      </c>
      <c r="N124" t="s">
        <v>94</v>
      </c>
    </row>
    <row r="125" spans="1:14" ht="17.25" x14ac:dyDescent="0.25">
      <c r="A125" s="9" t="s">
        <v>176</v>
      </c>
      <c r="B125" t="s">
        <v>85</v>
      </c>
      <c r="C125" t="s">
        <v>16</v>
      </c>
      <c r="D125" s="6">
        <v>46085</v>
      </c>
      <c r="E125" s="2">
        <f t="shared" si="5"/>
        <v>46115</v>
      </c>
      <c r="F125">
        <f t="shared" ca="1" si="6"/>
        <v>8</v>
      </c>
      <c r="G125">
        <v>5</v>
      </c>
      <c r="H125">
        <v>35</v>
      </c>
      <c r="I125">
        <f t="shared" si="7"/>
        <v>30</v>
      </c>
      <c r="J125" t="s">
        <v>89</v>
      </c>
      <c r="K125" s="6">
        <v>46085</v>
      </c>
      <c r="L125" t="s">
        <v>91</v>
      </c>
      <c r="M125" t="s">
        <v>92</v>
      </c>
      <c r="N125" t="s">
        <v>94</v>
      </c>
    </row>
    <row r="126" spans="1:14" x14ac:dyDescent="0.25">
      <c r="A126" t="s">
        <v>178</v>
      </c>
      <c r="B126" t="s">
        <v>85</v>
      </c>
      <c r="C126" t="s">
        <v>16</v>
      </c>
      <c r="D126" s="6">
        <v>46085</v>
      </c>
      <c r="E126" s="2">
        <f t="shared" si="5"/>
        <v>46115</v>
      </c>
      <c r="F126">
        <f t="shared" ca="1" si="6"/>
        <v>8</v>
      </c>
      <c r="G126">
        <v>5</v>
      </c>
      <c r="H126">
        <v>35</v>
      </c>
      <c r="I126">
        <f t="shared" si="7"/>
        <v>30</v>
      </c>
      <c r="J126" t="s">
        <v>89</v>
      </c>
      <c r="K126" s="6">
        <v>46085</v>
      </c>
      <c r="L126" t="s">
        <v>91</v>
      </c>
      <c r="M126" t="s">
        <v>92</v>
      </c>
      <c r="N126" t="s">
        <v>94</v>
      </c>
    </row>
    <row r="127" spans="1:14" x14ac:dyDescent="0.25">
      <c r="A127" t="s">
        <v>179</v>
      </c>
      <c r="B127" t="s">
        <v>85</v>
      </c>
      <c r="C127" t="s">
        <v>16</v>
      </c>
      <c r="D127" s="6">
        <v>46085</v>
      </c>
      <c r="E127" s="2">
        <f t="shared" si="5"/>
        <v>46115</v>
      </c>
      <c r="F127">
        <f t="shared" ca="1" si="6"/>
        <v>8</v>
      </c>
      <c r="G127">
        <v>5</v>
      </c>
      <c r="H127">
        <v>35</v>
      </c>
      <c r="I127">
        <f t="shared" si="7"/>
        <v>30</v>
      </c>
      <c r="J127" t="s">
        <v>198</v>
      </c>
      <c r="K127" s="6">
        <v>46085</v>
      </c>
      <c r="L127" t="s">
        <v>91</v>
      </c>
      <c r="M127" t="s">
        <v>92</v>
      </c>
      <c r="N127" t="s">
        <v>94</v>
      </c>
    </row>
    <row r="128" spans="1:14" x14ac:dyDescent="0.25">
      <c r="A128" t="s">
        <v>180</v>
      </c>
      <c r="B128" t="s">
        <v>85</v>
      </c>
      <c r="C128" t="s">
        <v>16</v>
      </c>
      <c r="D128" s="6">
        <v>46085</v>
      </c>
      <c r="E128" s="2">
        <f t="shared" si="5"/>
        <v>46115</v>
      </c>
      <c r="F128">
        <f t="shared" ca="1" si="6"/>
        <v>8</v>
      </c>
      <c r="G128">
        <v>5</v>
      </c>
      <c r="H128">
        <v>35</v>
      </c>
      <c r="I128">
        <f t="shared" si="7"/>
        <v>30</v>
      </c>
      <c r="J128" t="s">
        <v>89</v>
      </c>
      <c r="K128" s="6">
        <v>46085</v>
      </c>
      <c r="L128" t="s">
        <v>91</v>
      </c>
      <c r="M128" t="s">
        <v>92</v>
      </c>
      <c r="N128" t="s">
        <v>94</v>
      </c>
    </row>
    <row r="129" spans="1:14" x14ac:dyDescent="0.25">
      <c r="A129" t="s">
        <v>181</v>
      </c>
      <c r="B129" t="s">
        <v>85</v>
      </c>
      <c r="C129" t="s">
        <v>16</v>
      </c>
      <c r="D129" s="6">
        <v>46085</v>
      </c>
      <c r="E129" s="2">
        <f t="shared" si="5"/>
        <v>46115</v>
      </c>
      <c r="F129">
        <f t="shared" ca="1" si="6"/>
        <v>8</v>
      </c>
      <c r="G129">
        <v>5</v>
      </c>
      <c r="H129">
        <v>35</v>
      </c>
      <c r="I129">
        <f t="shared" si="7"/>
        <v>30</v>
      </c>
      <c r="J129" t="s">
        <v>89</v>
      </c>
      <c r="K129" s="6">
        <v>46086</v>
      </c>
      <c r="L129" t="s">
        <v>91</v>
      </c>
      <c r="M129" t="s">
        <v>92</v>
      </c>
      <c r="N129" t="s">
        <v>94</v>
      </c>
    </row>
    <row r="130" spans="1:14" x14ac:dyDescent="0.25">
      <c r="A130" t="s">
        <v>182</v>
      </c>
      <c r="B130" t="s">
        <v>85</v>
      </c>
      <c r="C130" t="s">
        <v>16</v>
      </c>
      <c r="D130" s="6">
        <v>46085</v>
      </c>
      <c r="E130" s="2">
        <f t="shared" ref="E130:E193" si="9">IF(C130&lt;&gt;"",D130+VLOOKUP(C130,$T$2:$U$6,2,FALSE),"")</f>
        <v>46115</v>
      </c>
      <c r="F130">
        <f t="shared" ref="F130:F193" ca="1" si="10">IF(E130&lt;&gt;"",E130-TODAY(),"")</f>
        <v>8</v>
      </c>
      <c r="G130">
        <v>5</v>
      </c>
      <c r="H130">
        <v>35</v>
      </c>
      <c r="I130">
        <f t="shared" ref="I130:I193" si="11">IF(H130&lt;&gt;"",H130-G130,"")</f>
        <v>30</v>
      </c>
      <c r="J130" t="s">
        <v>89</v>
      </c>
      <c r="K130" s="6">
        <v>46086</v>
      </c>
      <c r="L130" t="s">
        <v>91</v>
      </c>
      <c r="M130" t="s">
        <v>92</v>
      </c>
      <c r="N130" t="s">
        <v>94</v>
      </c>
    </row>
    <row r="131" spans="1:14" x14ac:dyDescent="0.25">
      <c r="A131" t="s">
        <v>183</v>
      </c>
      <c r="B131" t="s">
        <v>85</v>
      </c>
      <c r="C131" t="s">
        <v>16</v>
      </c>
      <c r="D131" s="6">
        <v>46085</v>
      </c>
      <c r="E131" s="2">
        <f t="shared" si="9"/>
        <v>46115</v>
      </c>
      <c r="F131">
        <f t="shared" ca="1" si="10"/>
        <v>8</v>
      </c>
      <c r="G131">
        <v>5</v>
      </c>
      <c r="H131">
        <v>35</v>
      </c>
      <c r="I131">
        <f t="shared" si="11"/>
        <v>30</v>
      </c>
      <c r="J131" t="s">
        <v>198</v>
      </c>
      <c r="K131" s="6">
        <v>46086</v>
      </c>
      <c r="L131" t="s">
        <v>91</v>
      </c>
      <c r="M131" t="s">
        <v>92</v>
      </c>
      <c r="N131" t="s">
        <v>94</v>
      </c>
    </row>
    <row r="132" spans="1:14" x14ac:dyDescent="0.25">
      <c r="A132" t="s">
        <v>184</v>
      </c>
      <c r="B132" t="s">
        <v>85</v>
      </c>
      <c r="C132" t="s">
        <v>16</v>
      </c>
      <c r="D132" s="6">
        <v>46085</v>
      </c>
      <c r="E132" s="2">
        <f t="shared" si="9"/>
        <v>46115</v>
      </c>
      <c r="F132">
        <f t="shared" ca="1" si="10"/>
        <v>8</v>
      </c>
      <c r="G132">
        <v>5</v>
      </c>
      <c r="H132">
        <v>35</v>
      </c>
      <c r="I132">
        <f t="shared" si="11"/>
        <v>30</v>
      </c>
      <c r="J132" t="s">
        <v>89</v>
      </c>
      <c r="K132" s="6">
        <v>46086</v>
      </c>
      <c r="L132" t="s">
        <v>91</v>
      </c>
      <c r="M132" t="s">
        <v>92</v>
      </c>
      <c r="N132" t="s">
        <v>94</v>
      </c>
    </row>
    <row r="133" spans="1:14" x14ac:dyDescent="0.25">
      <c r="A133" t="s">
        <v>185</v>
      </c>
      <c r="B133" t="s">
        <v>85</v>
      </c>
      <c r="C133" t="s">
        <v>16</v>
      </c>
      <c r="D133" s="6">
        <v>46085</v>
      </c>
      <c r="E133" s="2">
        <f t="shared" si="9"/>
        <v>46115</v>
      </c>
      <c r="F133">
        <f t="shared" ca="1" si="10"/>
        <v>8</v>
      </c>
      <c r="G133">
        <v>5</v>
      </c>
      <c r="H133">
        <v>35</v>
      </c>
      <c r="I133">
        <f t="shared" si="11"/>
        <v>30</v>
      </c>
      <c r="J133" t="s">
        <v>89</v>
      </c>
      <c r="K133" s="6">
        <v>46086</v>
      </c>
      <c r="L133" t="s">
        <v>91</v>
      </c>
      <c r="M133" t="s">
        <v>92</v>
      </c>
      <c r="N133" t="s">
        <v>94</v>
      </c>
    </row>
    <row r="134" spans="1:14" x14ac:dyDescent="0.25">
      <c r="A134" t="s">
        <v>186</v>
      </c>
      <c r="B134" t="s">
        <v>85</v>
      </c>
      <c r="C134" t="s">
        <v>16</v>
      </c>
      <c r="D134" s="6">
        <v>46086</v>
      </c>
      <c r="E134" s="2">
        <f t="shared" si="9"/>
        <v>46116</v>
      </c>
      <c r="F134">
        <f t="shared" ca="1" si="10"/>
        <v>9</v>
      </c>
      <c r="G134">
        <v>5</v>
      </c>
      <c r="H134">
        <v>35</v>
      </c>
      <c r="I134">
        <f t="shared" si="11"/>
        <v>30</v>
      </c>
      <c r="J134" t="s">
        <v>89</v>
      </c>
      <c r="K134" s="6">
        <v>46086</v>
      </c>
      <c r="L134" t="s">
        <v>91</v>
      </c>
      <c r="M134" t="s">
        <v>92</v>
      </c>
      <c r="N134" t="s">
        <v>94</v>
      </c>
    </row>
    <row r="135" spans="1:14" x14ac:dyDescent="0.25">
      <c r="A135" t="s">
        <v>187</v>
      </c>
      <c r="B135" t="s">
        <v>85</v>
      </c>
      <c r="C135" t="s">
        <v>16</v>
      </c>
      <c r="D135" s="6">
        <v>46086</v>
      </c>
      <c r="E135" s="2">
        <f t="shared" si="9"/>
        <v>46116</v>
      </c>
      <c r="F135">
        <f t="shared" ca="1" si="10"/>
        <v>9</v>
      </c>
      <c r="G135">
        <v>5</v>
      </c>
      <c r="H135">
        <v>35</v>
      </c>
      <c r="I135">
        <f t="shared" si="11"/>
        <v>30</v>
      </c>
      <c r="J135" t="s">
        <v>89</v>
      </c>
      <c r="K135" s="6">
        <v>46086</v>
      </c>
      <c r="L135" t="s">
        <v>91</v>
      </c>
      <c r="M135" t="s">
        <v>92</v>
      </c>
      <c r="N135" t="s">
        <v>94</v>
      </c>
    </row>
    <row r="136" spans="1:14" x14ac:dyDescent="0.25">
      <c r="A136" s="3" t="s">
        <v>188</v>
      </c>
      <c r="B136" t="s">
        <v>85</v>
      </c>
      <c r="C136" t="s">
        <v>16</v>
      </c>
      <c r="D136" s="6">
        <v>46086</v>
      </c>
      <c r="E136" s="2">
        <f t="shared" si="9"/>
        <v>46116</v>
      </c>
      <c r="F136">
        <f t="shared" ca="1" si="10"/>
        <v>9</v>
      </c>
      <c r="G136">
        <v>5</v>
      </c>
      <c r="H136">
        <v>35</v>
      </c>
      <c r="I136">
        <f t="shared" si="11"/>
        <v>30</v>
      </c>
      <c r="J136" t="s">
        <v>89</v>
      </c>
      <c r="K136" s="6">
        <v>46086</v>
      </c>
      <c r="L136" t="s">
        <v>91</v>
      </c>
      <c r="M136" t="s">
        <v>92</v>
      </c>
      <c r="N136" t="s">
        <v>94</v>
      </c>
    </row>
    <row r="137" spans="1:14" x14ac:dyDescent="0.25">
      <c r="A137" t="s">
        <v>189</v>
      </c>
      <c r="B137" t="s">
        <v>85</v>
      </c>
      <c r="C137" t="s">
        <v>16</v>
      </c>
      <c r="D137" s="6">
        <v>46086</v>
      </c>
      <c r="E137" s="2">
        <f t="shared" si="9"/>
        <v>46116</v>
      </c>
      <c r="F137">
        <f t="shared" ca="1" si="10"/>
        <v>9</v>
      </c>
      <c r="G137">
        <v>5</v>
      </c>
      <c r="H137">
        <v>35</v>
      </c>
      <c r="I137">
        <f t="shared" si="11"/>
        <v>30</v>
      </c>
      <c r="J137" t="s">
        <v>89</v>
      </c>
      <c r="K137" s="6">
        <v>46086</v>
      </c>
      <c r="L137" t="s">
        <v>91</v>
      </c>
      <c r="M137" t="s">
        <v>92</v>
      </c>
      <c r="N137" t="s">
        <v>94</v>
      </c>
    </row>
    <row r="138" spans="1:14" x14ac:dyDescent="0.25">
      <c r="A138" s="3" t="s">
        <v>190</v>
      </c>
      <c r="B138" t="s">
        <v>85</v>
      </c>
      <c r="C138" t="s">
        <v>16</v>
      </c>
      <c r="D138" s="6">
        <v>46086</v>
      </c>
      <c r="E138" s="2">
        <f t="shared" si="9"/>
        <v>46116</v>
      </c>
      <c r="F138">
        <f t="shared" ca="1" si="10"/>
        <v>9</v>
      </c>
      <c r="G138">
        <v>5</v>
      </c>
      <c r="H138">
        <v>35</v>
      </c>
      <c r="I138">
        <f t="shared" si="11"/>
        <v>30</v>
      </c>
      <c r="J138" t="s">
        <v>89</v>
      </c>
      <c r="K138" s="6">
        <v>46086</v>
      </c>
      <c r="L138" t="s">
        <v>91</v>
      </c>
      <c r="M138" t="s">
        <v>92</v>
      </c>
      <c r="N138" t="s">
        <v>94</v>
      </c>
    </row>
    <row r="139" spans="1:14" x14ac:dyDescent="0.25">
      <c r="A139" s="3" t="s">
        <v>157</v>
      </c>
      <c r="B139" t="s">
        <v>85</v>
      </c>
      <c r="C139" t="s">
        <v>16</v>
      </c>
      <c r="D139" s="6">
        <v>46086</v>
      </c>
      <c r="E139" s="2">
        <f t="shared" si="9"/>
        <v>46116</v>
      </c>
      <c r="F139">
        <f t="shared" ca="1" si="10"/>
        <v>9</v>
      </c>
      <c r="G139">
        <v>5</v>
      </c>
      <c r="H139">
        <v>35</v>
      </c>
      <c r="I139">
        <f t="shared" si="11"/>
        <v>30</v>
      </c>
      <c r="J139" t="s">
        <v>89</v>
      </c>
      <c r="K139" s="6">
        <v>46086</v>
      </c>
      <c r="L139" t="s">
        <v>91</v>
      </c>
      <c r="M139" t="s">
        <v>92</v>
      </c>
      <c r="N139" t="s">
        <v>94</v>
      </c>
    </row>
    <row r="140" spans="1:14" x14ac:dyDescent="0.25">
      <c r="A140" s="3" t="s">
        <v>191</v>
      </c>
      <c r="B140" t="s">
        <v>177</v>
      </c>
      <c r="C140" t="s">
        <v>16</v>
      </c>
      <c r="D140" s="6">
        <v>46086</v>
      </c>
      <c r="E140" s="2">
        <f t="shared" si="9"/>
        <v>46116</v>
      </c>
      <c r="F140">
        <f t="shared" ca="1" si="10"/>
        <v>9</v>
      </c>
      <c r="G140">
        <v>10</v>
      </c>
      <c r="H140">
        <v>50</v>
      </c>
      <c r="I140">
        <f t="shared" si="11"/>
        <v>40</v>
      </c>
      <c r="J140" t="s">
        <v>89</v>
      </c>
      <c r="K140" s="6">
        <v>46086</v>
      </c>
      <c r="L140" t="s">
        <v>91</v>
      </c>
      <c r="M140" t="s">
        <v>92</v>
      </c>
      <c r="N140" t="s">
        <v>94</v>
      </c>
    </row>
    <row r="141" spans="1:14" x14ac:dyDescent="0.25">
      <c r="A141" t="s">
        <v>192</v>
      </c>
      <c r="B141" t="s">
        <v>85</v>
      </c>
      <c r="C141" t="s">
        <v>16</v>
      </c>
      <c r="D141" s="6">
        <v>46086</v>
      </c>
      <c r="E141" s="2">
        <f t="shared" si="9"/>
        <v>46116</v>
      </c>
      <c r="F141">
        <f t="shared" ca="1" si="10"/>
        <v>9</v>
      </c>
      <c r="G141">
        <v>5</v>
      </c>
      <c r="H141">
        <v>35</v>
      </c>
      <c r="I141">
        <f t="shared" si="11"/>
        <v>30</v>
      </c>
      <c r="J141" t="s">
        <v>89</v>
      </c>
      <c r="K141" s="6">
        <v>46086</v>
      </c>
      <c r="L141" t="s">
        <v>91</v>
      </c>
      <c r="M141" t="s">
        <v>92</v>
      </c>
      <c r="N141" t="s">
        <v>94</v>
      </c>
    </row>
    <row r="142" spans="1:14" x14ac:dyDescent="0.25">
      <c r="A142" s="10" t="s">
        <v>193</v>
      </c>
      <c r="B142" t="s">
        <v>87</v>
      </c>
      <c r="C142" t="s">
        <v>20</v>
      </c>
      <c r="D142" s="6">
        <v>46087</v>
      </c>
      <c r="E142" s="2">
        <f t="shared" si="9"/>
        <v>46452</v>
      </c>
      <c r="F142">
        <f t="shared" ca="1" si="10"/>
        <v>345</v>
      </c>
      <c r="G142">
        <v>20</v>
      </c>
      <c r="H142">
        <v>250</v>
      </c>
      <c r="I142">
        <f t="shared" si="11"/>
        <v>230</v>
      </c>
      <c r="J142" t="s">
        <v>89</v>
      </c>
      <c r="K142" s="6">
        <v>46087</v>
      </c>
      <c r="L142" t="s">
        <v>91</v>
      </c>
      <c r="M142" t="s">
        <v>92</v>
      </c>
      <c r="N142" t="s">
        <v>94</v>
      </c>
    </row>
    <row r="143" spans="1:14" x14ac:dyDescent="0.25">
      <c r="A143" t="s">
        <v>194</v>
      </c>
      <c r="B143" t="s">
        <v>85</v>
      </c>
      <c r="C143" t="s">
        <v>16</v>
      </c>
      <c r="D143" s="6">
        <v>46087</v>
      </c>
      <c r="E143" s="2">
        <f t="shared" si="9"/>
        <v>46117</v>
      </c>
      <c r="F143">
        <f t="shared" ca="1" si="10"/>
        <v>10</v>
      </c>
      <c r="G143">
        <v>5</v>
      </c>
      <c r="H143">
        <v>35</v>
      </c>
      <c r="I143">
        <f t="shared" si="11"/>
        <v>30</v>
      </c>
      <c r="J143" t="s">
        <v>89</v>
      </c>
      <c r="K143" s="6">
        <v>46087</v>
      </c>
      <c r="L143" t="s">
        <v>91</v>
      </c>
      <c r="M143" t="s">
        <v>92</v>
      </c>
      <c r="N143" t="s">
        <v>94</v>
      </c>
    </row>
    <row r="144" spans="1:14" x14ac:dyDescent="0.25">
      <c r="A144" t="s">
        <v>195</v>
      </c>
      <c r="B144" t="s">
        <v>85</v>
      </c>
      <c r="C144" t="s">
        <v>16</v>
      </c>
      <c r="D144" s="6">
        <v>46087</v>
      </c>
      <c r="E144" s="2">
        <f t="shared" si="9"/>
        <v>46117</v>
      </c>
      <c r="F144">
        <f t="shared" ca="1" si="10"/>
        <v>10</v>
      </c>
      <c r="G144">
        <v>5</v>
      </c>
      <c r="H144">
        <v>35</v>
      </c>
      <c r="I144">
        <f t="shared" si="11"/>
        <v>30</v>
      </c>
      <c r="J144" t="s">
        <v>89</v>
      </c>
      <c r="K144" s="6">
        <v>46087</v>
      </c>
      <c r="L144" t="s">
        <v>91</v>
      </c>
      <c r="M144" t="s">
        <v>92</v>
      </c>
      <c r="N144" t="s">
        <v>94</v>
      </c>
    </row>
    <row r="145" spans="1:14" x14ac:dyDescent="0.25">
      <c r="A145" t="s">
        <v>105</v>
      </c>
      <c r="B145" t="s">
        <v>87</v>
      </c>
      <c r="C145" t="s">
        <v>20</v>
      </c>
      <c r="D145" s="6">
        <v>46087</v>
      </c>
      <c r="E145" s="2">
        <f t="shared" ref="E145" si="12">IF(C145&lt;&gt;"",D145+VLOOKUP(C145,$T$2:$U$6,2,FALSE),"")</f>
        <v>46452</v>
      </c>
      <c r="F145">
        <f t="shared" ref="F145" ca="1" si="13">IF(E145&lt;&gt;"",E145-TODAY(),"")</f>
        <v>345</v>
      </c>
      <c r="G145">
        <v>20</v>
      </c>
      <c r="H145">
        <v>250</v>
      </c>
      <c r="I145">
        <f t="shared" ref="I145" si="14">IF(H145&lt;&gt;"",H145-G145,"")</f>
        <v>230</v>
      </c>
      <c r="J145" t="s">
        <v>89</v>
      </c>
      <c r="K145" s="6">
        <v>46087</v>
      </c>
      <c r="L145" t="s">
        <v>91</v>
      </c>
      <c r="M145" t="s">
        <v>92</v>
      </c>
      <c r="N145" t="s">
        <v>94</v>
      </c>
    </row>
    <row r="146" spans="1:14" x14ac:dyDescent="0.25">
      <c r="A146" t="s">
        <v>197</v>
      </c>
      <c r="B146" t="s">
        <v>88</v>
      </c>
      <c r="C146" t="s">
        <v>16</v>
      </c>
      <c r="D146" s="6">
        <v>46087</v>
      </c>
      <c r="E146" s="2">
        <f t="shared" ref="E146:E147" si="15">IF(C146&lt;&gt;"",D146+VLOOKUP(C146,$T$2:$U$6,2,FALSE),"")</f>
        <v>46117</v>
      </c>
      <c r="F146">
        <f t="shared" ref="F146:F147" ca="1" si="16">IF(E146&lt;&gt;"",E146-TODAY(),"")</f>
        <v>10</v>
      </c>
      <c r="G146">
        <v>20</v>
      </c>
      <c r="H146">
        <v>35</v>
      </c>
      <c r="I146">
        <f t="shared" ref="I146:I147" si="17">IF(H146&lt;&gt;"",H146-G146,"")</f>
        <v>15</v>
      </c>
      <c r="J146" t="s">
        <v>89</v>
      </c>
      <c r="K146" s="6">
        <v>46087</v>
      </c>
      <c r="L146" t="s">
        <v>91</v>
      </c>
      <c r="M146" t="s">
        <v>92</v>
      </c>
      <c r="N146" t="s">
        <v>94</v>
      </c>
    </row>
    <row r="147" spans="1:14" x14ac:dyDescent="0.25">
      <c r="A147" t="s">
        <v>196</v>
      </c>
      <c r="B147" t="s">
        <v>85</v>
      </c>
      <c r="C147" t="s">
        <v>16</v>
      </c>
      <c r="D147" s="6">
        <v>46087</v>
      </c>
      <c r="E147" s="2">
        <f t="shared" si="15"/>
        <v>46117</v>
      </c>
      <c r="F147">
        <f t="shared" ca="1" si="16"/>
        <v>10</v>
      </c>
      <c r="G147">
        <v>5</v>
      </c>
      <c r="H147">
        <v>35</v>
      </c>
      <c r="I147">
        <f t="shared" si="17"/>
        <v>30</v>
      </c>
      <c r="J147" t="s">
        <v>89</v>
      </c>
      <c r="K147" s="6">
        <v>46087</v>
      </c>
      <c r="L147" t="s">
        <v>91</v>
      </c>
      <c r="M147" t="s">
        <v>92</v>
      </c>
      <c r="N147" t="s">
        <v>94</v>
      </c>
    </row>
    <row r="148" spans="1:14" x14ac:dyDescent="0.25">
      <c r="A148" t="s">
        <v>199</v>
      </c>
      <c r="B148" t="s">
        <v>85</v>
      </c>
      <c r="C148" t="s">
        <v>16</v>
      </c>
      <c r="D148" s="6">
        <v>46087</v>
      </c>
      <c r="E148" s="2">
        <f t="shared" ref="E148" si="18">IF(C148&lt;&gt;"",D148+VLOOKUP(C148,$T$2:$U$6,2,FALSE),"")</f>
        <v>46117</v>
      </c>
      <c r="F148">
        <f t="shared" ref="F148" ca="1" si="19">IF(E148&lt;&gt;"",E148-TODAY(),"")</f>
        <v>10</v>
      </c>
      <c r="G148">
        <v>5</v>
      </c>
      <c r="H148">
        <v>35</v>
      </c>
      <c r="I148">
        <f t="shared" ref="I148" si="20">IF(H148&lt;&gt;"",H148-G148,"")</f>
        <v>30</v>
      </c>
      <c r="J148" t="s">
        <v>89</v>
      </c>
      <c r="K148" s="6">
        <v>46087</v>
      </c>
      <c r="L148" t="s">
        <v>91</v>
      </c>
      <c r="M148" t="s">
        <v>92</v>
      </c>
      <c r="N148" t="s">
        <v>94</v>
      </c>
    </row>
    <row r="149" spans="1:14" x14ac:dyDescent="0.25">
      <c r="A149" t="s">
        <v>200</v>
      </c>
      <c r="B149" t="s">
        <v>85</v>
      </c>
      <c r="C149" t="s">
        <v>16</v>
      </c>
      <c r="D149" s="6">
        <v>46087</v>
      </c>
      <c r="E149" s="2">
        <f t="shared" ref="E149:E150" si="21">IF(C149&lt;&gt;"",D149+VLOOKUP(C149,$T$2:$U$6,2,FALSE),"")</f>
        <v>46117</v>
      </c>
      <c r="F149">
        <f t="shared" ref="F149:F150" ca="1" si="22">IF(E149&lt;&gt;"",E149-TODAY(),"")</f>
        <v>10</v>
      </c>
      <c r="G149">
        <v>5</v>
      </c>
      <c r="H149">
        <v>35</v>
      </c>
      <c r="I149">
        <f t="shared" ref="I149:I150" si="23">IF(H149&lt;&gt;"",H149-G149,"")</f>
        <v>30</v>
      </c>
      <c r="J149" t="s">
        <v>89</v>
      </c>
      <c r="K149" s="6">
        <v>46087</v>
      </c>
      <c r="L149" t="s">
        <v>91</v>
      </c>
      <c r="M149" t="s">
        <v>92</v>
      </c>
      <c r="N149" t="s">
        <v>94</v>
      </c>
    </row>
    <row r="150" spans="1:14" x14ac:dyDescent="0.25">
      <c r="A150" t="s">
        <v>201</v>
      </c>
      <c r="B150" t="s">
        <v>85</v>
      </c>
      <c r="C150" t="s">
        <v>16</v>
      </c>
      <c r="D150" s="6">
        <v>46087</v>
      </c>
      <c r="E150" s="2">
        <f t="shared" si="21"/>
        <v>46117</v>
      </c>
      <c r="F150">
        <f t="shared" ca="1" si="22"/>
        <v>10</v>
      </c>
      <c r="G150">
        <v>5</v>
      </c>
      <c r="H150">
        <v>35</v>
      </c>
      <c r="I150">
        <f t="shared" si="23"/>
        <v>30</v>
      </c>
      <c r="J150" t="s">
        <v>89</v>
      </c>
      <c r="K150" s="6">
        <v>46087</v>
      </c>
      <c r="L150" t="s">
        <v>91</v>
      </c>
      <c r="M150" t="s">
        <v>92</v>
      </c>
      <c r="N150" t="s">
        <v>94</v>
      </c>
    </row>
    <row r="151" spans="1:14" x14ac:dyDescent="0.25">
      <c r="A151" t="s">
        <v>204</v>
      </c>
      <c r="B151" t="s">
        <v>85</v>
      </c>
      <c r="C151" t="s">
        <v>16</v>
      </c>
      <c r="D151" s="6">
        <v>46087</v>
      </c>
      <c r="E151" s="2">
        <f t="shared" ref="E151" si="24">IF(C151&lt;&gt;"",D151+VLOOKUP(C151,$T$2:$U$6,2,FALSE),"")</f>
        <v>46117</v>
      </c>
      <c r="F151">
        <f t="shared" ref="F151" ca="1" si="25">IF(E151&lt;&gt;"",E151-TODAY(),"")</f>
        <v>10</v>
      </c>
      <c r="G151">
        <v>5</v>
      </c>
      <c r="H151">
        <v>35</v>
      </c>
      <c r="I151">
        <f t="shared" ref="I151" si="26">IF(H151&lt;&gt;"",H151-G151,"")</f>
        <v>30</v>
      </c>
      <c r="J151" t="s">
        <v>89</v>
      </c>
      <c r="K151" s="6">
        <v>46087</v>
      </c>
      <c r="L151" t="s">
        <v>91</v>
      </c>
      <c r="M151" t="s">
        <v>92</v>
      </c>
      <c r="N151" t="s">
        <v>94</v>
      </c>
    </row>
    <row r="152" spans="1:14" x14ac:dyDescent="0.25">
      <c r="A152" t="s">
        <v>202</v>
      </c>
      <c r="B152" t="s">
        <v>85</v>
      </c>
      <c r="C152" t="s">
        <v>16</v>
      </c>
      <c r="D152" s="6">
        <v>46087</v>
      </c>
      <c r="E152" s="2">
        <f t="shared" ref="E152" si="27">IF(C152&lt;&gt;"",D152+VLOOKUP(C152,$T$2:$U$6,2,FALSE),"")</f>
        <v>46117</v>
      </c>
      <c r="F152">
        <f t="shared" ref="F152" ca="1" si="28">IF(E152&lt;&gt;"",E152-TODAY(),"")</f>
        <v>10</v>
      </c>
      <c r="G152">
        <v>5</v>
      </c>
      <c r="H152">
        <v>35</v>
      </c>
      <c r="I152">
        <f t="shared" ref="I152" si="29">IF(H152&lt;&gt;"",H152-G152,"")</f>
        <v>30</v>
      </c>
      <c r="J152" t="s">
        <v>89</v>
      </c>
      <c r="K152" s="6">
        <v>46087</v>
      </c>
      <c r="L152" t="s">
        <v>91</v>
      </c>
      <c r="M152" t="s">
        <v>92</v>
      </c>
      <c r="N152" t="s">
        <v>94</v>
      </c>
    </row>
    <row r="153" spans="1:14" x14ac:dyDescent="0.25">
      <c r="A153" t="s">
        <v>203</v>
      </c>
      <c r="B153" t="s">
        <v>85</v>
      </c>
      <c r="C153" t="s">
        <v>16</v>
      </c>
      <c r="D153" s="6">
        <v>46087</v>
      </c>
      <c r="E153" s="2">
        <f t="shared" ref="E153" si="30">IF(C153&lt;&gt;"",D153+VLOOKUP(C153,$T$2:$U$6,2,FALSE),"")</f>
        <v>46117</v>
      </c>
      <c r="F153">
        <f t="shared" ref="F153" ca="1" si="31">IF(E153&lt;&gt;"",E153-TODAY(),"")</f>
        <v>10</v>
      </c>
      <c r="G153">
        <v>5</v>
      </c>
      <c r="H153">
        <v>35</v>
      </c>
      <c r="I153">
        <f t="shared" ref="I153" si="32">IF(H153&lt;&gt;"",H153-G153,"")</f>
        <v>30</v>
      </c>
      <c r="J153" t="s">
        <v>89</v>
      </c>
      <c r="K153" s="6">
        <v>46087</v>
      </c>
      <c r="L153" t="s">
        <v>91</v>
      </c>
      <c r="M153" t="s">
        <v>92</v>
      </c>
      <c r="N153" t="s">
        <v>94</v>
      </c>
    </row>
    <row r="154" spans="1:14" x14ac:dyDescent="0.25">
      <c r="A154" t="s">
        <v>205</v>
      </c>
      <c r="B154" t="s">
        <v>85</v>
      </c>
      <c r="C154" t="s">
        <v>20</v>
      </c>
      <c r="D154" s="6">
        <v>46088</v>
      </c>
      <c r="E154" s="2">
        <f t="shared" si="9"/>
        <v>46453</v>
      </c>
      <c r="F154">
        <f t="shared" ca="1" si="10"/>
        <v>346</v>
      </c>
      <c r="G154">
        <v>40</v>
      </c>
      <c r="H154">
        <v>300</v>
      </c>
      <c r="I154">
        <f t="shared" si="11"/>
        <v>260</v>
      </c>
      <c r="J154" t="s">
        <v>89</v>
      </c>
      <c r="K154" s="6">
        <v>46088</v>
      </c>
      <c r="L154" t="s">
        <v>91</v>
      </c>
      <c r="M154" t="s">
        <v>92</v>
      </c>
      <c r="N154" t="s">
        <v>94</v>
      </c>
    </row>
    <row r="155" spans="1:14" x14ac:dyDescent="0.25">
      <c r="A155" t="s">
        <v>206</v>
      </c>
      <c r="B155" t="s">
        <v>85</v>
      </c>
      <c r="C155" t="s">
        <v>16</v>
      </c>
      <c r="D155" s="6">
        <v>46088</v>
      </c>
      <c r="E155" s="2">
        <f t="shared" si="9"/>
        <v>46118</v>
      </c>
      <c r="F155">
        <f t="shared" ca="1" si="10"/>
        <v>11</v>
      </c>
      <c r="G155">
        <v>5</v>
      </c>
      <c r="H155">
        <v>35</v>
      </c>
      <c r="I155">
        <f t="shared" si="11"/>
        <v>30</v>
      </c>
      <c r="J155" t="s">
        <v>89</v>
      </c>
      <c r="K155" s="6">
        <v>46087</v>
      </c>
      <c r="L155" t="s">
        <v>91</v>
      </c>
      <c r="M155" t="s">
        <v>92</v>
      </c>
      <c r="N155" t="s">
        <v>94</v>
      </c>
    </row>
    <row r="156" spans="1:14" x14ac:dyDescent="0.25">
      <c r="A156" t="s">
        <v>207</v>
      </c>
      <c r="B156" t="s">
        <v>30</v>
      </c>
      <c r="C156" t="s">
        <v>16</v>
      </c>
      <c r="D156" s="6">
        <v>46088</v>
      </c>
      <c r="E156" s="2">
        <f t="shared" ref="E156:E157" si="33">IF(C156&lt;&gt;"",D156+VLOOKUP(C156,$T$2:$U$6,2,FALSE),"")</f>
        <v>46118</v>
      </c>
      <c r="F156">
        <f t="shared" ref="F156:F157" ca="1" si="34">IF(E156&lt;&gt;"",E156-TODAY(),"")</f>
        <v>11</v>
      </c>
      <c r="G156">
        <v>5</v>
      </c>
      <c r="H156">
        <v>25</v>
      </c>
      <c r="I156">
        <f t="shared" ref="I156:I157" si="35">IF(H156&lt;&gt;"",H156-G156,"")</f>
        <v>20</v>
      </c>
      <c r="J156" t="s">
        <v>89</v>
      </c>
      <c r="K156" s="6">
        <v>46087</v>
      </c>
      <c r="L156" t="s">
        <v>91</v>
      </c>
      <c r="M156" t="s">
        <v>92</v>
      </c>
      <c r="N156" t="s">
        <v>94</v>
      </c>
    </row>
    <row r="157" spans="1:14" x14ac:dyDescent="0.25">
      <c r="A157" s="3" t="s">
        <v>208</v>
      </c>
      <c r="B157" t="s">
        <v>177</v>
      </c>
      <c r="C157" t="s">
        <v>16</v>
      </c>
      <c r="D157" s="6">
        <v>46088</v>
      </c>
      <c r="E157" s="2">
        <f t="shared" si="33"/>
        <v>46118</v>
      </c>
      <c r="F157">
        <f t="shared" ca="1" si="34"/>
        <v>11</v>
      </c>
      <c r="G157">
        <v>10</v>
      </c>
      <c r="H157">
        <v>50</v>
      </c>
      <c r="I157">
        <f t="shared" si="35"/>
        <v>40</v>
      </c>
      <c r="J157" t="s">
        <v>89</v>
      </c>
      <c r="K157" s="6">
        <v>46086</v>
      </c>
      <c r="L157" t="s">
        <v>91</v>
      </c>
      <c r="M157" t="s">
        <v>92</v>
      </c>
      <c r="N157" t="s">
        <v>94</v>
      </c>
    </row>
    <row r="158" spans="1:14" x14ac:dyDescent="0.25">
      <c r="A158" t="s">
        <v>209</v>
      </c>
      <c r="B158" t="s">
        <v>85</v>
      </c>
      <c r="C158" t="s">
        <v>16</v>
      </c>
      <c r="D158" s="6">
        <v>46088</v>
      </c>
      <c r="E158" s="2">
        <f t="shared" ref="E158" si="36">IF(C158&lt;&gt;"",D158+VLOOKUP(C158,$T$2:$U$6,2,FALSE),"")</f>
        <v>46118</v>
      </c>
      <c r="F158">
        <f t="shared" ref="F158" ca="1" si="37">IF(E158&lt;&gt;"",E158-TODAY(),"")</f>
        <v>11</v>
      </c>
      <c r="G158">
        <v>5</v>
      </c>
      <c r="H158">
        <v>35</v>
      </c>
      <c r="I158">
        <f t="shared" ref="I158" si="38">IF(H158&lt;&gt;"",H158-G158,"")</f>
        <v>30</v>
      </c>
      <c r="J158" t="s">
        <v>89</v>
      </c>
      <c r="K158" s="6">
        <v>46087</v>
      </c>
      <c r="L158" t="s">
        <v>91</v>
      </c>
      <c r="M158" t="s">
        <v>92</v>
      </c>
      <c r="N158" t="s">
        <v>94</v>
      </c>
    </row>
    <row r="159" spans="1:14" x14ac:dyDescent="0.25">
      <c r="A159" t="s">
        <v>210</v>
      </c>
      <c r="B159" t="s">
        <v>85</v>
      </c>
      <c r="C159" t="s">
        <v>16</v>
      </c>
      <c r="D159" s="6">
        <v>46088</v>
      </c>
      <c r="E159" s="2">
        <f t="shared" ref="E159" si="39">IF(C159&lt;&gt;"",D159+VLOOKUP(C159,$T$2:$U$6,2,FALSE),"")</f>
        <v>46118</v>
      </c>
      <c r="F159">
        <f t="shared" ref="F159" ca="1" si="40">IF(E159&lt;&gt;"",E159-TODAY(),"")</f>
        <v>11</v>
      </c>
      <c r="G159">
        <v>5</v>
      </c>
      <c r="H159">
        <v>35</v>
      </c>
      <c r="I159">
        <f t="shared" ref="I159" si="41">IF(H159&lt;&gt;"",H159-G159,"")</f>
        <v>30</v>
      </c>
      <c r="J159" t="s">
        <v>89</v>
      </c>
      <c r="K159" s="6">
        <v>46087</v>
      </c>
      <c r="L159" t="s">
        <v>91</v>
      </c>
      <c r="M159" t="s">
        <v>92</v>
      </c>
      <c r="N159" t="s">
        <v>94</v>
      </c>
    </row>
    <row r="160" spans="1:14" x14ac:dyDescent="0.25">
      <c r="A160" t="s">
        <v>211</v>
      </c>
      <c r="B160" t="s">
        <v>85</v>
      </c>
      <c r="C160" t="s">
        <v>16</v>
      </c>
      <c r="D160" s="6">
        <v>46088</v>
      </c>
      <c r="E160" s="2">
        <f t="shared" ref="E160" si="42">IF(C160&lt;&gt;"",D160+VLOOKUP(C160,$T$2:$U$6,2,FALSE),"")</f>
        <v>46118</v>
      </c>
      <c r="F160">
        <f t="shared" ref="F160" ca="1" si="43">IF(E160&lt;&gt;"",E160-TODAY(),"")</f>
        <v>11</v>
      </c>
      <c r="G160">
        <v>5</v>
      </c>
      <c r="H160">
        <v>35</v>
      </c>
      <c r="I160">
        <f t="shared" ref="I160" si="44">IF(H160&lt;&gt;"",H160-G160,"")</f>
        <v>30</v>
      </c>
      <c r="J160" t="s">
        <v>89</v>
      </c>
      <c r="K160" s="6">
        <v>46087</v>
      </c>
      <c r="L160" t="s">
        <v>91</v>
      </c>
      <c r="M160" t="s">
        <v>92</v>
      </c>
      <c r="N160" t="s">
        <v>94</v>
      </c>
    </row>
    <row r="161" spans="1:14" x14ac:dyDescent="0.25">
      <c r="A161" t="s">
        <v>212</v>
      </c>
      <c r="B161" t="s">
        <v>85</v>
      </c>
      <c r="C161" t="s">
        <v>16</v>
      </c>
      <c r="D161" s="6">
        <v>46088</v>
      </c>
      <c r="E161" s="2">
        <f t="shared" ref="E161" si="45">IF(C161&lt;&gt;"",D161+VLOOKUP(C161,$T$2:$U$6,2,FALSE),"")</f>
        <v>46118</v>
      </c>
      <c r="F161">
        <f t="shared" ref="F161" ca="1" si="46">IF(E161&lt;&gt;"",E161-TODAY(),"")</f>
        <v>11</v>
      </c>
      <c r="G161">
        <v>5</v>
      </c>
      <c r="H161">
        <v>35</v>
      </c>
      <c r="I161">
        <f t="shared" ref="I161" si="47">IF(H161&lt;&gt;"",H161-G161,"")</f>
        <v>30</v>
      </c>
      <c r="J161" t="s">
        <v>89</v>
      </c>
      <c r="K161" s="6">
        <v>46087</v>
      </c>
      <c r="L161" t="s">
        <v>91</v>
      </c>
      <c r="M161" t="s">
        <v>92</v>
      </c>
      <c r="N161" t="s">
        <v>94</v>
      </c>
    </row>
    <row r="162" spans="1:14" x14ac:dyDescent="0.25">
      <c r="A162" s="10" t="s">
        <v>213</v>
      </c>
      <c r="B162" t="s">
        <v>85</v>
      </c>
      <c r="C162" t="s">
        <v>16</v>
      </c>
      <c r="D162" s="6">
        <v>46088</v>
      </c>
      <c r="E162" s="2">
        <f t="shared" ref="E162" si="48">IF(C162&lt;&gt;"",D162+VLOOKUP(C162,$T$2:$U$6,2,FALSE),"")</f>
        <v>46118</v>
      </c>
      <c r="F162">
        <f t="shared" ref="F162" ca="1" si="49">IF(E162&lt;&gt;"",E162-TODAY(),"")</f>
        <v>11</v>
      </c>
      <c r="G162">
        <v>5</v>
      </c>
      <c r="H162">
        <v>35</v>
      </c>
      <c r="I162">
        <f t="shared" ref="I162" si="50">IF(H162&lt;&gt;"",H162-G162,"")</f>
        <v>30</v>
      </c>
      <c r="J162" t="s">
        <v>89</v>
      </c>
      <c r="K162" s="6">
        <v>46087</v>
      </c>
      <c r="L162" t="s">
        <v>91</v>
      </c>
      <c r="M162" t="s">
        <v>92</v>
      </c>
      <c r="N162" t="s">
        <v>94</v>
      </c>
    </row>
    <row r="163" spans="1:14" x14ac:dyDescent="0.25">
      <c r="B163" t="s">
        <v>85</v>
      </c>
      <c r="C163" t="s">
        <v>16</v>
      </c>
      <c r="D163" s="6">
        <v>46088</v>
      </c>
      <c r="E163" s="2">
        <f t="shared" ref="E163" si="51">IF(C163&lt;&gt;"",D163+VLOOKUP(C163,$T$2:$U$6,2,FALSE),"")</f>
        <v>46118</v>
      </c>
      <c r="F163">
        <f t="shared" ref="F163" ca="1" si="52">IF(E163&lt;&gt;"",E163-TODAY(),"")</f>
        <v>11</v>
      </c>
      <c r="G163">
        <v>5</v>
      </c>
      <c r="H163">
        <v>35</v>
      </c>
      <c r="I163">
        <f t="shared" ref="I163" si="53">IF(H163&lt;&gt;"",H163-G163,"")</f>
        <v>30</v>
      </c>
      <c r="J163" t="s">
        <v>89</v>
      </c>
      <c r="K163" s="6">
        <v>46087</v>
      </c>
      <c r="L163" t="s">
        <v>91</v>
      </c>
      <c r="M163" t="s">
        <v>92</v>
      </c>
      <c r="N163" t="s">
        <v>94</v>
      </c>
    </row>
    <row r="164" spans="1:14" x14ac:dyDescent="0.25">
      <c r="A164" t="s">
        <v>214</v>
      </c>
      <c r="B164" t="s">
        <v>85</v>
      </c>
      <c r="C164" t="s">
        <v>16</v>
      </c>
      <c r="D164" s="6">
        <v>46088</v>
      </c>
      <c r="E164" s="2">
        <f t="shared" ref="E164" si="54">IF(C164&lt;&gt;"",D164+VLOOKUP(C164,$T$2:$U$6,2,FALSE),"")</f>
        <v>46118</v>
      </c>
      <c r="F164">
        <f t="shared" ref="F164" ca="1" si="55">IF(E164&lt;&gt;"",E164-TODAY(),"")</f>
        <v>11</v>
      </c>
      <c r="G164">
        <v>5</v>
      </c>
      <c r="H164">
        <v>35</v>
      </c>
      <c r="I164">
        <f t="shared" ref="I164" si="56">IF(H164&lt;&gt;"",H164-G164,"")</f>
        <v>30</v>
      </c>
      <c r="J164" t="s">
        <v>89</v>
      </c>
      <c r="K164" s="6">
        <v>46087</v>
      </c>
      <c r="L164" t="s">
        <v>91</v>
      </c>
      <c r="M164" t="s">
        <v>92</v>
      </c>
      <c r="N164" t="s">
        <v>94</v>
      </c>
    </row>
    <row r="165" spans="1:14" ht="14.25" customHeight="1" x14ac:dyDescent="0.25">
      <c r="A165" t="s">
        <v>215</v>
      </c>
      <c r="B165" t="s">
        <v>85</v>
      </c>
      <c r="C165" t="s">
        <v>16</v>
      </c>
      <c r="D165" s="6">
        <v>46088</v>
      </c>
      <c r="E165" s="2">
        <f t="shared" ref="E165" si="57">IF(C165&lt;&gt;"",D165+VLOOKUP(C165,$T$2:$U$6,2,FALSE),"")</f>
        <v>46118</v>
      </c>
      <c r="F165">
        <f t="shared" ref="F165" ca="1" si="58">IF(E165&lt;&gt;"",E165-TODAY(),"")</f>
        <v>11</v>
      </c>
      <c r="G165">
        <v>5</v>
      </c>
      <c r="H165">
        <v>35</v>
      </c>
      <c r="I165">
        <f t="shared" ref="I165" si="59">IF(H165&lt;&gt;"",H165-G165,"")</f>
        <v>30</v>
      </c>
      <c r="J165" t="s">
        <v>89</v>
      </c>
      <c r="K165" s="6">
        <v>46087</v>
      </c>
      <c r="L165" t="s">
        <v>91</v>
      </c>
      <c r="M165" t="s">
        <v>92</v>
      </c>
      <c r="N165" t="s">
        <v>94</v>
      </c>
    </row>
    <row r="166" spans="1:14" x14ac:dyDescent="0.25">
      <c r="A166" t="s">
        <v>216</v>
      </c>
      <c r="B166" t="s">
        <v>85</v>
      </c>
      <c r="C166" t="s">
        <v>16</v>
      </c>
      <c r="D166" s="6">
        <v>46088</v>
      </c>
      <c r="E166" s="2">
        <f t="shared" ref="E166" si="60">IF(C166&lt;&gt;"",D166+VLOOKUP(C166,$T$2:$U$6,2,FALSE),"")</f>
        <v>46118</v>
      </c>
      <c r="F166">
        <f t="shared" ref="F166" ca="1" si="61">IF(E166&lt;&gt;"",E166-TODAY(),"")</f>
        <v>11</v>
      </c>
      <c r="G166">
        <v>5</v>
      </c>
      <c r="H166">
        <v>35</v>
      </c>
      <c r="I166">
        <f t="shared" ref="I166" si="62">IF(H166&lt;&gt;"",H166-G166,"")</f>
        <v>30</v>
      </c>
      <c r="J166" t="s">
        <v>89</v>
      </c>
      <c r="K166" s="6">
        <v>46087</v>
      </c>
      <c r="L166" t="s">
        <v>91</v>
      </c>
      <c r="M166" t="s">
        <v>92</v>
      </c>
      <c r="N166" t="s">
        <v>94</v>
      </c>
    </row>
    <row r="167" spans="1:14" ht="15.75" thickBot="1" x14ac:dyDescent="0.3">
      <c r="A167" s="4" t="s">
        <v>217</v>
      </c>
      <c r="B167" s="4" t="s">
        <v>30</v>
      </c>
      <c r="C167" t="s">
        <v>18</v>
      </c>
      <c r="D167" s="6">
        <v>46088</v>
      </c>
      <c r="E167" s="2">
        <f t="shared" si="9"/>
        <v>46178</v>
      </c>
      <c r="F167">
        <f t="shared" ca="1" si="10"/>
        <v>71</v>
      </c>
      <c r="G167">
        <v>10</v>
      </c>
      <c r="H167">
        <v>70</v>
      </c>
      <c r="I167">
        <f t="shared" si="11"/>
        <v>60</v>
      </c>
      <c r="J167" t="s">
        <v>89</v>
      </c>
      <c r="K167" s="6">
        <v>46088</v>
      </c>
      <c r="L167" t="s">
        <v>91</v>
      </c>
      <c r="M167" t="s">
        <v>92</v>
      </c>
      <c r="N167" t="s">
        <v>94</v>
      </c>
    </row>
    <row r="168" spans="1:14" x14ac:dyDescent="0.25">
      <c r="A168" t="s">
        <v>218</v>
      </c>
      <c r="B168" t="s">
        <v>85</v>
      </c>
      <c r="C168" t="s">
        <v>18</v>
      </c>
      <c r="D168" s="6">
        <v>46088</v>
      </c>
      <c r="E168" s="2">
        <f t="shared" si="9"/>
        <v>46178</v>
      </c>
      <c r="F168">
        <f t="shared" ca="1" si="10"/>
        <v>71</v>
      </c>
      <c r="G168">
        <v>15</v>
      </c>
      <c r="H168">
        <v>100</v>
      </c>
      <c r="I168">
        <f t="shared" si="11"/>
        <v>85</v>
      </c>
      <c r="J168" t="s">
        <v>89</v>
      </c>
      <c r="K168" s="6">
        <v>46087</v>
      </c>
      <c r="L168" t="s">
        <v>91</v>
      </c>
      <c r="M168" t="s">
        <v>92</v>
      </c>
      <c r="N168" t="s">
        <v>94</v>
      </c>
    </row>
    <row r="169" spans="1:14" x14ac:dyDescent="0.25">
      <c r="A169" t="s">
        <v>219</v>
      </c>
      <c r="B169" t="s">
        <v>85</v>
      </c>
      <c r="C169" t="s">
        <v>16</v>
      </c>
      <c r="D169" s="6">
        <v>46088</v>
      </c>
      <c r="E169" s="2">
        <f t="shared" si="9"/>
        <v>46118</v>
      </c>
      <c r="F169">
        <f t="shared" ca="1" si="10"/>
        <v>11</v>
      </c>
      <c r="G169">
        <v>5</v>
      </c>
      <c r="H169">
        <v>35</v>
      </c>
      <c r="I169">
        <f t="shared" si="11"/>
        <v>30</v>
      </c>
      <c r="J169" t="s">
        <v>89</v>
      </c>
      <c r="K169" s="6">
        <v>46087</v>
      </c>
      <c r="L169" t="s">
        <v>91</v>
      </c>
      <c r="M169" t="s">
        <v>92</v>
      </c>
      <c r="N169" t="s">
        <v>94</v>
      </c>
    </row>
    <row r="170" spans="1:14" x14ac:dyDescent="0.25">
      <c r="A170" t="s">
        <v>220</v>
      </c>
      <c r="B170" t="s">
        <v>85</v>
      </c>
      <c r="C170" t="s">
        <v>16</v>
      </c>
      <c r="D170" s="6">
        <v>46088</v>
      </c>
      <c r="E170" s="2">
        <f t="shared" ref="E170" si="63">IF(C170&lt;&gt;"",D170+VLOOKUP(C170,$T$2:$U$6,2,FALSE),"")</f>
        <v>46118</v>
      </c>
      <c r="F170">
        <f t="shared" ref="F170" ca="1" si="64">IF(E170&lt;&gt;"",E170-TODAY(),"")</f>
        <v>11</v>
      </c>
      <c r="G170">
        <v>5</v>
      </c>
      <c r="H170">
        <v>35</v>
      </c>
      <c r="I170">
        <f t="shared" ref="I170" si="65">IF(H170&lt;&gt;"",H170-G170,"")</f>
        <v>30</v>
      </c>
      <c r="J170" t="s">
        <v>89</v>
      </c>
      <c r="K170" s="6">
        <v>46087</v>
      </c>
      <c r="L170" t="s">
        <v>91</v>
      </c>
      <c r="M170" t="s">
        <v>92</v>
      </c>
      <c r="N170" t="s">
        <v>94</v>
      </c>
    </row>
    <row r="171" spans="1:14" x14ac:dyDescent="0.25">
      <c r="A171" t="s">
        <v>216</v>
      </c>
      <c r="B171" t="s">
        <v>85</v>
      </c>
      <c r="C171" t="s">
        <v>16</v>
      </c>
      <c r="D171" s="6">
        <v>46088</v>
      </c>
      <c r="E171" s="2">
        <f t="shared" ref="E171" si="66">IF(C171&lt;&gt;"",D171+VLOOKUP(C171,$T$2:$U$6,2,FALSE),"")</f>
        <v>46118</v>
      </c>
      <c r="F171">
        <f t="shared" ref="F171" ca="1" si="67">IF(E171&lt;&gt;"",E171-TODAY(),"")</f>
        <v>11</v>
      </c>
      <c r="G171">
        <v>5</v>
      </c>
      <c r="H171">
        <v>35</v>
      </c>
      <c r="I171">
        <f t="shared" ref="I171" si="68">IF(H171&lt;&gt;"",H171-G171,"")</f>
        <v>30</v>
      </c>
      <c r="J171" t="s">
        <v>89</v>
      </c>
      <c r="K171" s="6">
        <v>46087</v>
      </c>
      <c r="L171" t="s">
        <v>91</v>
      </c>
      <c r="M171" t="s">
        <v>92</v>
      </c>
      <c r="N171" t="s">
        <v>94</v>
      </c>
    </row>
    <row r="172" spans="1:14" x14ac:dyDescent="0.25">
      <c r="A172" t="s">
        <v>221</v>
      </c>
      <c r="B172" t="s">
        <v>177</v>
      </c>
      <c r="C172" t="s">
        <v>16</v>
      </c>
      <c r="D172" s="6">
        <v>46089</v>
      </c>
      <c r="E172" s="2">
        <f t="shared" si="9"/>
        <v>46119</v>
      </c>
      <c r="F172">
        <f t="shared" ca="1" si="10"/>
        <v>12</v>
      </c>
      <c r="G172">
        <v>10</v>
      </c>
      <c r="H172">
        <v>50</v>
      </c>
      <c r="I172">
        <f t="shared" si="11"/>
        <v>40</v>
      </c>
      <c r="J172" t="s">
        <v>89</v>
      </c>
      <c r="K172" s="6">
        <v>46089</v>
      </c>
      <c r="L172" t="s">
        <v>91</v>
      </c>
      <c r="M172" t="s">
        <v>92</v>
      </c>
      <c r="N172" t="s">
        <v>94</v>
      </c>
    </row>
    <row r="173" spans="1:14" x14ac:dyDescent="0.25">
      <c r="A173" t="s">
        <v>222</v>
      </c>
      <c r="B173" t="s">
        <v>85</v>
      </c>
      <c r="C173" t="s">
        <v>16</v>
      </c>
      <c r="D173" s="6">
        <v>46089</v>
      </c>
      <c r="E173" s="2">
        <f t="shared" si="9"/>
        <v>46119</v>
      </c>
      <c r="F173">
        <f t="shared" ca="1" si="10"/>
        <v>12</v>
      </c>
      <c r="G173">
        <v>5</v>
      </c>
      <c r="H173">
        <v>35</v>
      </c>
      <c r="I173">
        <f t="shared" si="11"/>
        <v>30</v>
      </c>
      <c r="J173" t="s">
        <v>89</v>
      </c>
      <c r="K173" s="6">
        <v>46087</v>
      </c>
      <c r="L173" t="s">
        <v>91</v>
      </c>
      <c r="M173" t="s">
        <v>92</v>
      </c>
      <c r="N173" t="s">
        <v>94</v>
      </c>
    </row>
    <row r="174" spans="1:14" x14ac:dyDescent="0.25">
      <c r="A174" t="s">
        <v>223</v>
      </c>
      <c r="B174" t="s">
        <v>85</v>
      </c>
      <c r="C174" t="s">
        <v>16</v>
      </c>
      <c r="D174" s="6">
        <v>46090</v>
      </c>
      <c r="E174" s="2">
        <f t="shared" ref="E174" si="69">IF(C174&lt;&gt;"",D174+VLOOKUP(C174,$T$2:$U$6,2,FALSE),"")</f>
        <v>46120</v>
      </c>
      <c r="F174">
        <f t="shared" ref="F174" ca="1" si="70">IF(E174&lt;&gt;"",E174-TODAY(),"")</f>
        <v>13</v>
      </c>
      <c r="G174">
        <v>5</v>
      </c>
      <c r="H174">
        <v>35</v>
      </c>
      <c r="I174">
        <f t="shared" ref="I174" si="71">IF(H174&lt;&gt;"",H174-G174,"")</f>
        <v>30</v>
      </c>
      <c r="J174" t="s">
        <v>89</v>
      </c>
      <c r="K174" s="6">
        <v>46087</v>
      </c>
      <c r="L174" t="s">
        <v>91</v>
      </c>
      <c r="M174" t="s">
        <v>92</v>
      </c>
      <c r="N174" t="s">
        <v>94</v>
      </c>
    </row>
    <row r="175" spans="1:14" x14ac:dyDescent="0.25">
      <c r="A175" t="s">
        <v>224</v>
      </c>
      <c r="B175" t="s">
        <v>85</v>
      </c>
      <c r="C175" t="s">
        <v>16</v>
      </c>
      <c r="D175" s="6">
        <v>46090</v>
      </c>
      <c r="E175" s="2">
        <f t="shared" ref="E175:E176" si="72">IF(C175&lt;&gt;"",D175+VLOOKUP(C175,$T$2:$U$6,2,FALSE),"")</f>
        <v>46120</v>
      </c>
      <c r="F175">
        <f t="shared" ref="F175:F176" ca="1" si="73">IF(E175&lt;&gt;"",E175-TODAY(),"")</f>
        <v>13</v>
      </c>
      <c r="G175">
        <v>5</v>
      </c>
      <c r="H175">
        <v>35</v>
      </c>
      <c r="I175">
        <f t="shared" ref="I175:I176" si="74">IF(H175&lt;&gt;"",H175-G175,"")</f>
        <v>30</v>
      </c>
      <c r="J175" t="s">
        <v>89</v>
      </c>
      <c r="K175" s="6">
        <v>46087</v>
      </c>
      <c r="L175" t="s">
        <v>91</v>
      </c>
      <c r="M175" t="s">
        <v>92</v>
      </c>
      <c r="N175" t="s">
        <v>94</v>
      </c>
    </row>
    <row r="176" spans="1:14" x14ac:dyDescent="0.25">
      <c r="A176" t="s">
        <v>225</v>
      </c>
      <c r="B176" t="s">
        <v>85</v>
      </c>
      <c r="C176" t="s">
        <v>16</v>
      </c>
      <c r="D176" s="6">
        <v>46090</v>
      </c>
      <c r="E176" s="2">
        <f t="shared" si="72"/>
        <v>46120</v>
      </c>
      <c r="F176">
        <f t="shared" ca="1" si="73"/>
        <v>13</v>
      </c>
      <c r="G176">
        <v>5</v>
      </c>
      <c r="H176">
        <v>35</v>
      </c>
      <c r="I176">
        <f t="shared" si="74"/>
        <v>30</v>
      </c>
      <c r="J176" t="s">
        <v>89</v>
      </c>
      <c r="K176" s="6">
        <v>46087</v>
      </c>
      <c r="L176" t="s">
        <v>91</v>
      </c>
      <c r="M176" t="s">
        <v>92</v>
      </c>
      <c r="N176" t="s">
        <v>94</v>
      </c>
    </row>
    <row r="177" spans="1:14" x14ac:dyDescent="0.25">
      <c r="A177" t="s">
        <v>226</v>
      </c>
      <c r="B177" t="s">
        <v>85</v>
      </c>
      <c r="C177" t="s">
        <v>16</v>
      </c>
      <c r="D177" s="6">
        <v>46090</v>
      </c>
      <c r="E177" s="2">
        <f t="shared" ref="E177:E180" si="75">IF(C177&lt;&gt;"",D177+VLOOKUP(C177,$T$2:$U$6,2,FALSE),"")</f>
        <v>46120</v>
      </c>
      <c r="F177">
        <f t="shared" ref="F177:F180" ca="1" si="76">IF(E177&lt;&gt;"",E177-TODAY(),"")</f>
        <v>13</v>
      </c>
      <c r="G177">
        <v>5</v>
      </c>
      <c r="H177">
        <v>35</v>
      </c>
      <c r="I177">
        <f t="shared" ref="I177:I180" si="77">IF(H177&lt;&gt;"",H177-G177,"")</f>
        <v>30</v>
      </c>
      <c r="J177" t="s">
        <v>89</v>
      </c>
      <c r="K177" s="6">
        <v>46087</v>
      </c>
      <c r="L177" t="s">
        <v>91</v>
      </c>
      <c r="M177" t="s">
        <v>92</v>
      </c>
      <c r="N177" t="s">
        <v>94</v>
      </c>
    </row>
    <row r="178" spans="1:14" x14ac:dyDescent="0.25">
      <c r="A178" t="s">
        <v>227</v>
      </c>
      <c r="B178" t="s">
        <v>85</v>
      </c>
      <c r="C178" t="s">
        <v>16</v>
      </c>
      <c r="D178" s="6">
        <v>46090</v>
      </c>
      <c r="E178" s="2">
        <f t="shared" si="75"/>
        <v>46120</v>
      </c>
      <c r="F178">
        <f t="shared" ca="1" si="76"/>
        <v>13</v>
      </c>
      <c r="G178">
        <v>5</v>
      </c>
      <c r="H178">
        <v>35</v>
      </c>
      <c r="I178">
        <f t="shared" si="77"/>
        <v>30</v>
      </c>
      <c r="J178" t="s">
        <v>89</v>
      </c>
      <c r="K178" s="6">
        <v>46087</v>
      </c>
      <c r="L178" t="s">
        <v>91</v>
      </c>
      <c r="M178" t="s">
        <v>92</v>
      </c>
      <c r="N178" t="s">
        <v>94</v>
      </c>
    </row>
    <row r="179" spans="1:14" x14ac:dyDescent="0.25">
      <c r="A179" t="s">
        <v>228</v>
      </c>
      <c r="B179" t="s">
        <v>85</v>
      </c>
      <c r="C179" t="s">
        <v>16</v>
      </c>
      <c r="D179" s="6">
        <v>46090</v>
      </c>
      <c r="E179" s="2">
        <f t="shared" si="75"/>
        <v>46120</v>
      </c>
      <c r="F179">
        <f t="shared" ca="1" si="76"/>
        <v>13</v>
      </c>
      <c r="G179">
        <v>5</v>
      </c>
      <c r="H179">
        <v>35</v>
      </c>
      <c r="I179">
        <f t="shared" si="77"/>
        <v>30</v>
      </c>
      <c r="J179" t="s">
        <v>89</v>
      </c>
      <c r="K179" s="6">
        <v>46087</v>
      </c>
      <c r="L179" t="s">
        <v>91</v>
      </c>
      <c r="M179" t="s">
        <v>92</v>
      </c>
      <c r="N179" t="s">
        <v>94</v>
      </c>
    </row>
    <row r="180" spans="1:14" x14ac:dyDescent="0.25">
      <c r="A180" t="s">
        <v>229</v>
      </c>
      <c r="B180" t="s">
        <v>177</v>
      </c>
      <c r="C180" t="s">
        <v>16</v>
      </c>
      <c r="D180" s="6">
        <v>46091</v>
      </c>
      <c r="E180" s="2">
        <f t="shared" si="75"/>
        <v>46121</v>
      </c>
      <c r="F180">
        <f t="shared" ca="1" si="76"/>
        <v>14</v>
      </c>
      <c r="G180">
        <v>10</v>
      </c>
      <c r="H180">
        <v>50</v>
      </c>
      <c r="I180">
        <f t="shared" si="77"/>
        <v>40</v>
      </c>
      <c r="J180" t="s">
        <v>89</v>
      </c>
      <c r="K180" s="6">
        <v>46089</v>
      </c>
      <c r="L180" t="s">
        <v>91</v>
      </c>
      <c r="M180" t="s">
        <v>92</v>
      </c>
      <c r="N180" t="s">
        <v>94</v>
      </c>
    </row>
    <row r="181" spans="1:14" x14ac:dyDescent="0.25">
      <c r="A181" t="s">
        <v>230</v>
      </c>
      <c r="B181" t="s">
        <v>85</v>
      </c>
      <c r="C181" t="s">
        <v>16</v>
      </c>
      <c r="D181" s="6">
        <v>46091</v>
      </c>
      <c r="E181" s="2">
        <f t="shared" ref="E181" si="78">IF(C181&lt;&gt;"",D181+VLOOKUP(C181,$T$2:$U$6,2,FALSE),"")</f>
        <v>46121</v>
      </c>
      <c r="F181">
        <f t="shared" ref="F181" ca="1" si="79">IF(E181&lt;&gt;"",E181-TODAY(),"")</f>
        <v>14</v>
      </c>
      <c r="G181">
        <v>5</v>
      </c>
      <c r="H181">
        <v>35</v>
      </c>
      <c r="I181">
        <f t="shared" ref="I181" si="80">IF(H181&lt;&gt;"",H181-G181,"")</f>
        <v>30</v>
      </c>
      <c r="J181" t="s">
        <v>89</v>
      </c>
      <c r="K181" s="6">
        <v>46087</v>
      </c>
      <c r="L181" t="s">
        <v>91</v>
      </c>
      <c r="M181" t="s">
        <v>92</v>
      </c>
      <c r="N181" t="s">
        <v>94</v>
      </c>
    </row>
    <row r="182" spans="1:14" x14ac:dyDescent="0.25">
      <c r="A182" t="s">
        <v>234</v>
      </c>
      <c r="B182" t="s">
        <v>85</v>
      </c>
      <c r="C182" t="s">
        <v>16</v>
      </c>
      <c r="D182" s="6">
        <v>46091</v>
      </c>
      <c r="E182" s="2">
        <f t="shared" ref="E182" si="81">IF(C182&lt;&gt;"",D182+VLOOKUP(C182,$T$2:$U$6,2,FALSE),"")</f>
        <v>46121</v>
      </c>
      <c r="F182">
        <f t="shared" ref="F182" ca="1" si="82">IF(E182&lt;&gt;"",E182-TODAY(),"")</f>
        <v>14</v>
      </c>
      <c r="G182">
        <v>5</v>
      </c>
      <c r="H182">
        <v>35</v>
      </c>
      <c r="I182">
        <f t="shared" ref="I182" si="83">IF(H182&lt;&gt;"",H182-G182,"")</f>
        <v>30</v>
      </c>
      <c r="J182" t="s">
        <v>89</v>
      </c>
      <c r="K182" s="6">
        <v>46087</v>
      </c>
      <c r="L182" t="s">
        <v>91</v>
      </c>
      <c r="M182" t="s">
        <v>92</v>
      </c>
      <c r="N182" t="s">
        <v>94</v>
      </c>
    </row>
    <row r="183" spans="1:14" x14ac:dyDescent="0.25">
      <c r="A183" t="s">
        <v>232</v>
      </c>
      <c r="B183" t="s">
        <v>86</v>
      </c>
      <c r="C183" t="s">
        <v>20</v>
      </c>
      <c r="D183" s="6">
        <v>46091</v>
      </c>
      <c r="E183" s="2">
        <f t="shared" si="9"/>
        <v>46456</v>
      </c>
      <c r="F183">
        <f t="shared" ca="1" si="10"/>
        <v>349</v>
      </c>
      <c r="G183">
        <v>5</v>
      </c>
      <c r="H183">
        <v>60</v>
      </c>
      <c r="I183">
        <f t="shared" si="11"/>
        <v>55</v>
      </c>
      <c r="J183" t="s">
        <v>89</v>
      </c>
    </row>
    <row r="184" spans="1:14" x14ac:dyDescent="0.25">
      <c r="A184" t="s">
        <v>233</v>
      </c>
      <c r="B184" t="s">
        <v>87</v>
      </c>
      <c r="C184" t="s">
        <v>20</v>
      </c>
      <c r="D184" s="6">
        <v>46091</v>
      </c>
      <c r="E184" s="2">
        <f t="shared" si="9"/>
        <v>46456</v>
      </c>
      <c r="F184">
        <f t="shared" ca="1" si="10"/>
        <v>349</v>
      </c>
      <c r="G184">
        <v>20</v>
      </c>
      <c r="H184">
        <v>250</v>
      </c>
      <c r="I184">
        <f t="shared" si="11"/>
        <v>230</v>
      </c>
      <c r="J184" t="s">
        <v>89</v>
      </c>
      <c r="K184" s="6">
        <v>46091</v>
      </c>
      <c r="L184" t="s">
        <v>91</v>
      </c>
      <c r="M184" t="s">
        <v>92</v>
      </c>
      <c r="N184" t="s">
        <v>94</v>
      </c>
    </row>
    <row r="185" spans="1:14" x14ac:dyDescent="0.25">
      <c r="A185" t="s">
        <v>235</v>
      </c>
      <c r="B185" t="s">
        <v>85</v>
      </c>
      <c r="C185" t="s">
        <v>16</v>
      </c>
      <c r="D185" s="6">
        <v>46091</v>
      </c>
      <c r="E185" s="2">
        <f t="shared" si="9"/>
        <v>46121</v>
      </c>
      <c r="F185">
        <f t="shared" ca="1" si="10"/>
        <v>14</v>
      </c>
      <c r="G185">
        <v>5</v>
      </c>
      <c r="H185">
        <v>35</v>
      </c>
      <c r="I185">
        <f t="shared" si="11"/>
        <v>30</v>
      </c>
      <c r="J185" t="s">
        <v>89</v>
      </c>
      <c r="K185" s="6">
        <v>46087</v>
      </c>
      <c r="L185" t="s">
        <v>91</v>
      </c>
      <c r="M185" t="s">
        <v>92</v>
      </c>
      <c r="N185" t="s">
        <v>94</v>
      </c>
    </row>
    <row r="186" spans="1:14" ht="17.25" x14ac:dyDescent="0.3">
      <c r="A186" s="11" t="s">
        <v>231</v>
      </c>
      <c r="B186" t="s">
        <v>85</v>
      </c>
      <c r="C186" t="s">
        <v>16</v>
      </c>
      <c r="D186" s="6">
        <v>46091</v>
      </c>
      <c r="E186" s="2">
        <f t="shared" ref="E186" si="84">IF(C186&lt;&gt;"",D186+VLOOKUP(C186,$T$2:$U$6,2,FALSE),"")</f>
        <v>46121</v>
      </c>
      <c r="F186">
        <f t="shared" ref="F186" ca="1" si="85">IF(E186&lt;&gt;"",E186-TODAY(),"")</f>
        <v>14</v>
      </c>
      <c r="G186">
        <v>5</v>
      </c>
      <c r="H186">
        <v>35</v>
      </c>
      <c r="I186">
        <f t="shared" ref="I186" si="86">IF(H186&lt;&gt;"",H186-G186,"")</f>
        <v>30</v>
      </c>
      <c r="J186" t="s">
        <v>89</v>
      </c>
      <c r="K186" s="6">
        <v>46087</v>
      </c>
      <c r="L186" t="s">
        <v>91</v>
      </c>
      <c r="M186" t="s">
        <v>92</v>
      </c>
      <c r="N186" t="s">
        <v>94</v>
      </c>
    </row>
    <row r="187" spans="1:14" x14ac:dyDescent="0.25">
      <c r="A187" t="s">
        <v>236</v>
      </c>
      <c r="B187" t="s">
        <v>85</v>
      </c>
      <c r="C187" t="s">
        <v>16</v>
      </c>
      <c r="D187" s="6">
        <v>46091</v>
      </c>
      <c r="E187" s="2">
        <f t="shared" ref="E187" si="87">IF(C187&lt;&gt;"",D187+VLOOKUP(C187,$T$2:$U$6,2,FALSE),"")</f>
        <v>46121</v>
      </c>
      <c r="F187">
        <f t="shared" ref="F187" ca="1" si="88">IF(E187&lt;&gt;"",E187-TODAY(),"")</f>
        <v>14</v>
      </c>
      <c r="G187">
        <v>5</v>
      </c>
      <c r="H187">
        <v>35</v>
      </c>
      <c r="I187">
        <f t="shared" ref="I187" si="89">IF(H187&lt;&gt;"",H187-G187,"")</f>
        <v>30</v>
      </c>
      <c r="J187" t="s">
        <v>89</v>
      </c>
      <c r="K187" s="6">
        <v>46087</v>
      </c>
      <c r="L187" t="s">
        <v>91</v>
      </c>
      <c r="M187" t="s">
        <v>92</v>
      </c>
      <c r="N187" t="s">
        <v>94</v>
      </c>
    </row>
    <row r="188" spans="1:14" x14ac:dyDescent="0.25">
      <c r="A188" s="3" t="s">
        <v>237</v>
      </c>
      <c r="B188" t="s">
        <v>85</v>
      </c>
      <c r="C188" t="s">
        <v>16</v>
      </c>
      <c r="D188" s="6">
        <v>46091</v>
      </c>
      <c r="E188" s="2">
        <f t="shared" ref="E188:E189" si="90">IF(C188&lt;&gt;"",D188+VLOOKUP(C188,$T$2:$U$6,2,FALSE),"")</f>
        <v>46121</v>
      </c>
      <c r="F188">
        <f t="shared" ref="F188:F189" ca="1" si="91">IF(E188&lt;&gt;"",E188-TODAY(),"")</f>
        <v>14</v>
      </c>
      <c r="G188">
        <v>5</v>
      </c>
      <c r="H188">
        <v>35</v>
      </c>
      <c r="I188">
        <f t="shared" ref="I188:I189" si="92">IF(H188&lt;&gt;"",H188-G188,"")</f>
        <v>30</v>
      </c>
      <c r="J188" t="s">
        <v>198</v>
      </c>
      <c r="K188" s="6">
        <v>46087</v>
      </c>
      <c r="L188" t="s">
        <v>91</v>
      </c>
      <c r="M188" t="s">
        <v>92</v>
      </c>
      <c r="N188" t="s">
        <v>94</v>
      </c>
    </row>
    <row r="189" spans="1:14" x14ac:dyDescent="0.25">
      <c r="A189" t="s">
        <v>238</v>
      </c>
      <c r="B189" t="s">
        <v>85</v>
      </c>
      <c r="C189" t="s">
        <v>16</v>
      </c>
      <c r="D189" s="6">
        <v>46091</v>
      </c>
      <c r="E189" s="2">
        <f t="shared" si="90"/>
        <v>46121</v>
      </c>
      <c r="F189">
        <f t="shared" ca="1" si="91"/>
        <v>14</v>
      </c>
      <c r="G189">
        <v>5</v>
      </c>
      <c r="H189">
        <v>35</v>
      </c>
      <c r="I189">
        <f t="shared" si="92"/>
        <v>30</v>
      </c>
      <c r="J189" t="s">
        <v>89</v>
      </c>
      <c r="K189" s="6">
        <v>46087</v>
      </c>
      <c r="L189" t="s">
        <v>91</v>
      </c>
      <c r="M189" t="s">
        <v>92</v>
      </c>
      <c r="N189" t="s">
        <v>94</v>
      </c>
    </row>
    <row r="190" spans="1:14" x14ac:dyDescent="0.25">
      <c r="A190" t="s">
        <v>239</v>
      </c>
      <c r="B190" t="s">
        <v>85</v>
      </c>
      <c r="C190" t="s">
        <v>16</v>
      </c>
      <c r="D190" s="6">
        <v>46091</v>
      </c>
      <c r="E190" s="2">
        <f t="shared" ref="E190" si="93">IF(C190&lt;&gt;"",D190+VLOOKUP(C190,$T$2:$U$6,2,FALSE),"")</f>
        <v>46121</v>
      </c>
      <c r="F190">
        <f t="shared" ref="F190" ca="1" si="94">IF(E190&lt;&gt;"",E190-TODAY(),"")</f>
        <v>14</v>
      </c>
      <c r="G190">
        <v>5</v>
      </c>
      <c r="H190">
        <v>35</v>
      </c>
      <c r="I190">
        <f t="shared" ref="I190" si="95">IF(H190&lt;&gt;"",H190-G190,"")</f>
        <v>30</v>
      </c>
      <c r="J190" t="s">
        <v>89</v>
      </c>
      <c r="K190" s="6">
        <v>46087</v>
      </c>
      <c r="L190" t="s">
        <v>91</v>
      </c>
      <c r="M190" t="s">
        <v>92</v>
      </c>
      <c r="N190" t="s">
        <v>94</v>
      </c>
    </row>
    <row r="191" spans="1:14" x14ac:dyDescent="0.25">
      <c r="A191" t="s">
        <v>119</v>
      </c>
      <c r="B191" t="s">
        <v>85</v>
      </c>
      <c r="C191" t="s">
        <v>16</v>
      </c>
      <c r="D191" s="6">
        <v>46091</v>
      </c>
      <c r="E191" s="2">
        <f t="shared" ref="E191" si="96">IF(C191&lt;&gt;"",D191+VLOOKUP(C191,$T$2:$U$6,2,FALSE),"")</f>
        <v>46121</v>
      </c>
      <c r="F191">
        <f t="shared" ref="F191" ca="1" si="97">IF(E191&lt;&gt;"",E191-TODAY(),"")</f>
        <v>14</v>
      </c>
      <c r="G191">
        <v>5</v>
      </c>
      <c r="H191">
        <v>35</v>
      </c>
      <c r="I191">
        <f t="shared" ref="I191" si="98">IF(H191&lt;&gt;"",H191-G191,"")</f>
        <v>30</v>
      </c>
      <c r="J191" t="s">
        <v>89</v>
      </c>
      <c r="K191" s="6">
        <v>46087</v>
      </c>
      <c r="L191" t="s">
        <v>91</v>
      </c>
      <c r="M191" t="s">
        <v>92</v>
      </c>
      <c r="N191" t="s">
        <v>94</v>
      </c>
    </row>
    <row r="192" spans="1:14" x14ac:dyDescent="0.25">
      <c r="A192" t="s">
        <v>240</v>
      </c>
      <c r="B192" t="s">
        <v>85</v>
      </c>
      <c r="C192" t="s">
        <v>16</v>
      </c>
      <c r="D192" s="6">
        <v>46091</v>
      </c>
      <c r="E192" s="2">
        <f t="shared" ref="E192" si="99">IF(C192&lt;&gt;"",D192+VLOOKUP(C192,$T$2:$U$6,2,FALSE),"")</f>
        <v>46121</v>
      </c>
      <c r="F192">
        <f t="shared" ref="F192" ca="1" si="100">IF(E192&lt;&gt;"",E192-TODAY(),"")</f>
        <v>14</v>
      </c>
      <c r="G192">
        <v>5</v>
      </c>
      <c r="H192">
        <v>35</v>
      </c>
      <c r="I192">
        <f t="shared" ref="I192" si="101">IF(H192&lt;&gt;"",H192-G192,"")</f>
        <v>30</v>
      </c>
      <c r="J192" t="s">
        <v>89</v>
      </c>
      <c r="K192" s="6">
        <v>46087</v>
      </c>
      <c r="L192" t="s">
        <v>91</v>
      </c>
      <c r="M192" t="s">
        <v>92</v>
      </c>
      <c r="N192" t="s">
        <v>94</v>
      </c>
    </row>
    <row r="193" spans="1:14" x14ac:dyDescent="0.25">
      <c r="A193" t="s">
        <v>241</v>
      </c>
      <c r="B193" t="s">
        <v>85</v>
      </c>
      <c r="C193" t="s">
        <v>16</v>
      </c>
      <c r="D193" s="6">
        <v>46091</v>
      </c>
      <c r="E193" s="2">
        <f t="shared" si="9"/>
        <v>46121</v>
      </c>
      <c r="F193">
        <f t="shared" ca="1" si="10"/>
        <v>14</v>
      </c>
      <c r="G193">
        <v>5</v>
      </c>
      <c r="H193">
        <v>35</v>
      </c>
      <c r="I193">
        <f t="shared" si="11"/>
        <v>30</v>
      </c>
      <c r="J193" t="s">
        <v>89</v>
      </c>
      <c r="K193" s="6">
        <v>46087</v>
      </c>
      <c r="L193" t="s">
        <v>91</v>
      </c>
      <c r="M193" t="s">
        <v>92</v>
      </c>
      <c r="N193" t="s">
        <v>94</v>
      </c>
    </row>
    <row r="194" spans="1:14" ht="15.75" thickBot="1" x14ac:dyDescent="0.3">
      <c r="A194" s="14" t="s">
        <v>242</v>
      </c>
      <c r="B194" t="s">
        <v>30</v>
      </c>
      <c r="C194" t="s">
        <v>16</v>
      </c>
      <c r="D194" s="6">
        <v>46091</v>
      </c>
      <c r="E194" s="2">
        <f t="shared" ref="E194:E195" si="102">IF(C194&lt;&gt;"",D194+VLOOKUP(C194,$T$2:$U$6,2,FALSE),"")</f>
        <v>46121</v>
      </c>
      <c r="F194">
        <v>25</v>
      </c>
      <c r="G194">
        <v>5</v>
      </c>
      <c r="H194">
        <v>35</v>
      </c>
      <c r="I194">
        <f t="shared" ref="I194:I195" si="103">IF(H194&lt;&gt;"",H194-G194,"")</f>
        <v>30</v>
      </c>
      <c r="J194" t="s">
        <v>90</v>
      </c>
      <c r="K194" s="6">
        <v>46087</v>
      </c>
      <c r="L194" t="s">
        <v>91</v>
      </c>
      <c r="M194" t="s">
        <v>92</v>
      </c>
      <c r="N194" t="s">
        <v>94</v>
      </c>
    </row>
    <row r="195" spans="1:14" ht="16.5" x14ac:dyDescent="0.3">
      <c r="A195" s="12" t="s">
        <v>243</v>
      </c>
      <c r="B195" t="s">
        <v>85</v>
      </c>
      <c r="C195" t="s">
        <v>16</v>
      </c>
      <c r="D195" s="6">
        <v>46091</v>
      </c>
      <c r="E195" s="2">
        <f t="shared" si="102"/>
        <v>46121</v>
      </c>
      <c r="F195">
        <f t="shared" ref="F195" ca="1" si="104">IF(E195&lt;&gt;"",E195-TODAY(),"")</f>
        <v>14</v>
      </c>
      <c r="G195">
        <v>5</v>
      </c>
      <c r="H195">
        <v>35</v>
      </c>
      <c r="I195">
        <f t="shared" si="103"/>
        <v>30</v>
      </c>
      <c r="J195" t="s">
        <v>89</v>
      </c>
      <c r="K195" s="6">
        <v>46087</v>
      </c>
      <c r="L195" t="s">
        <v>91</v>
      </c>
      <c r="M195" t="s">
        <v>92</v>
      </c>
      <c r="N195" t="s">
        <v>94</v>
      </c>
    </row>
    <row r="196" spans="1:14" x14ac:dyDescent="0.25">
      <c r="A196" t="s">
        <v>244</v>
      </c>
      <c r="B196" t="s">
        <v>85</v>
      </c>
      <c r="C196" t="s">
        <v>16</v>
      </c>
      <c r="D196" s="6">
        <v>46091</v>
      </c>
      <c r="E196" s="2">
        <f t="shared" ref="E196:E199" si="105">IF(C196&lt;&gt;"",D196+VLOOKUP(C196,$T$2:$U$6,2,FALSE),"")</f>
        <v>46121</v>
      </c>
      <c r="F196">
        <f t="shared" ref="F196:F199" ca="1" si="106">IF(E196&lt;&gt;"",E196-TODAY(),"")</f>
        <v>14</v>
      </c>
      <c r="G196">
        <v>5</v>
      </c>
      <c r="H196">
        <v>35</v>
      </c>
      <c r="I196">
        <f t="shared" ref="I196:I199" si="107">IF(H196&lt;&gt;"",H196-G196,"")</f>
        <v>30</v>
      </c>
      <c r="J196" t="s">
        <v>89</v>
      </c>
      <c r="K196" s="6">
        <v>46087</v>
      </c>
      <c r="L196" t="s">
        <v>91</v>
      </c>
      <c r="M196" t="s">
        <v>92</v>
      </c>
      <c r="N196" t="s">
        <v>94</v>
      </c>
    </row>
    <row r="197" spans="1:14" x14ac:dyDescent="0.25">
      <c r="A197" t="s">
        <v>245</v>
      </c>
      <c r="B197" t="s">
        <v>85</v>
      </c>
      <c r="C197" t="s">
        <v>16</v>
      </c>
      <c r="D197" s="6">
        <v>46091</v>
      </c>
      <c r="E197" s="2">
        <f t="shared" si="105"/>
        <v>46121</v>
      </c>
      <c r="F197">
        <f t="shared" ca="1" si="106"/>
        <v>14</v>
      </c>
      <c r="G197">
        <v>5</v>
      </c>
      <c r="H197">
        <v>35</v>
      </c>
      <c r="I197">
        <f t="shared" si="107"/>
        <v>30</v>
      </c>
      <c r="J197" t="s">
        <v>90</v>
      </c>
      <c r="K197" s="6">
        <v>46087</v>
      </c>
      <c r="L197" t="s">
        <v>91</v>
      </c>
      <c r="M197" t="s">
        <v>92</v>
      </c>
      <c r="N197" t="s">
        <v>94</v>
      </c>
    </row>
    <row r="198" spans="1:14" x14ac:dyDescent="0.25">
      <c r="A198" t="s">
        <v>246</v>
      </c>
      <c r="B198" t="s">
        <v>85</v>
      </c>
      <c r="C198" t="s">
        <v>16</v>
      </c>
      <c r="D198" s="6">
        <v>46091</v>
      </c>
      <c r="E198" s="2">
        <f t="shared" si="105"/>
        <v>46121</v>
      </c>
      <c r="F198">
        <f t="shared" ca="1" si="106"/>
        <v>14</v>
      </c>
      <c r="G198">
        <v>5</v>
      </c>
      <c r="H198">
        <v>35</v>
      </c>
      <c r="I198">
        <f t="shared" si="107"/>
        <v>30</v>
      </c>
      <c r="J198" t="s">
        <v>89</v>
      </c>
      <c r="K198" s="6">
        <v>46087</v>
      </c>
      <c r="L198" t="s">
        <v>91</v>
      </c>
      <c r="M198" t="s">
        <v>92</v>
      </c>
      <c r="N198" t="s">
        <v>94</v>
      </c>
    </row>
    <row r="199" spans="1:14" x14ac:dyDescent="0.25">
      <c r="A199" t="s">
        <v>247</v>
      </c>
      <c r="B199" t="s">
        <v>177</v>
      </c>
      <c r="C199" t="s">
        <v>16</v>
      </c>
      <c r="D199" s="6">
        <v>46091</v>
      </c>
      <c r="E199" s="2">
        <f t="shared" si="105"/>
        <v>46121</v>
      </c>
      <c r="F199">
        <f t="shared" ca="1" si="106"/>
        <v>14</v>
      </c>
      <c r="G199">
        <v>10</v>
      </c>
      <c r="H199">
        <v>50</v>
      </c>
      <c r="I199">
        <f t="shared" si="107"/>
        <v>40</v>
      </c>
      <c r="J199" t="s">
        <v>89</v>
      </c>
      <c r="K199" s="6">
        <v>46089</v>
      </c>
      <c r="L199" t="s">
        <v>91</v>
      </c>
      <c r="M199" t="s">
        <v>92</v>
      </c>
      <c r="N199" t="s">
        <v>94</v>
      </c>
    </row>
    <row r="200" spans="1:14" x14ac:dyDescent="0.25">
      <c r="A200" t="s">
        <v>248</v>
      </c>
      <c r="B200" t="s">
        <v>85</v>
      </c>
      <c r="C200" t="s">
        <v>16</v>
      </c>
      <c r="D200" s="6">
        <v>46091</v>
      </c>
      <c r="E200" s="2">
        <f t="shared" ref="E200:E201" si="108">IF(C200&lt;&gt;"",D200+VLOOKUP(C200,$T$2:$U$6,2,FALSE),"")</f>
        <v>46121</v>
      </c>
      <c r="F200">
        <f t="shared" ref="F200:F201" ca="1" si="109">IF(E200&lt;&gt;"",E200-TODAY(),"")</f>
        <v>14</v>
      </c>
      <c r="G200">
        <v>5</v>
      </c>
      <c r="H200">
        <v>35</v>
      </c>
      <c r="I200">
        <f t="shared" ref="I200:I201" si="110">IF(H200&lt;&gt;"",H200-G200,"")</f>
        <v>30</v>
      </c>
      <c r="J200" t="s">
        <v>198</v>
      </c>
      <c r="K200" s="6">
        <v>46087</v>
      </c>
      <c r="L200" t="s">
        <v>91</v>
      </c>
      <c r="M200" t="s">
        <v>92</v>
      </c>
      <c r="N200" t="s">
        <v>94</v>
      </c>
    </row>
    <row r="201" spans="1:14" x14ac:dyDescent="0.25">
      <c r="A201" t="s">
        <v>249</v>
      </c>
      <c r="B201" t="s">
        <v>85</v>
      </c>
      <c r="C201" t="s">
        <v>16</v>
      </c>
      <c r="D201" s="6">
        <v>46091</v>
      </c>
      <c r="E201" s="2">
        <f t="shared" si="108"/>
        <v>46121</v>
      </c>
      <c r="F201">
        <f t="shared" ca="1" si="109"/>
        <v>14</v>
      </c>
      <c r="G201">
        <v>5</v>
      </c>
      <c r="H201">
        <v>35</v>
      </c>
      <c r="I201">
        <f t="shared" si="110"/>
        <v>30</v>
      </c>
      <c r="J201" t="s">
        <v>89</v>
      </c>
      <c r="K201" s="6">
        <v>46087</v>
      </c>
      <c r="L201" t="s">
        <v>91</v>
      </c>
      <c r="M201" t="s">
        <v>92</v>
      </c>
      <c r="N201" t="s">
        <v>94</v>
      </c>
    </row>
    <row r="202" spans="1:14" x14ac:dyDescent="0.25">
      <c r="A202" t="s">
        <v>250</v>
      </c>
      <c r="B202" t="s">
        <v>85</v>
      </c>
      <c r="C202" t="s">
        <v>16</v>
      </c>
      <c r="D202" s="6">
        <v>46091</v>
      </c>
      <c r="E202" s="2">
        <f t="shared" ref="E202" si="111">IF(C202&lt;&gt;"",D202+VLOOKUP(C202,$T$2:$U$6,2,FALSE),"")</f>
        <v>46121</v>
      </c>
      <c r="F202">
        <f t="shared" ref="F202" ca="1" si="112">IF(E202&lt;&gt;"",E202-TODAY(),"")</f>
        <v>14</v>
      </c>
      <c r="G202">
        <v>5</v>
      </c>
      <c r="H202">
        <v>35</v>
      </c>
      <c r="I202">
        <f t="shared" ref="I202" si="113">IF(H202&lt;&gt;"",H202-G202,"")</f>
        <v>30</v>
      </c>
      <c r="J202" t="s">
        <v>89</v>
      </c>
      <c r="K202" s="6">
        <v>46087</v>
      </c>
      <c r="L202" t="s">
        <v>91</v>
      </c>
      <c r="M202" t="s">
        <v>92</v>
      </c>
      <c r="N202" t="s">
        <v>94</v>
      </c>
    </row>
    <row r="203" spans="1:14" x14ac:dyDescent="0.25">
      <c r="A203" t="s">
        <v>251</v>
      </c>
      <c r="B203" t="s">
        <v>85</v>
      </c>
      <c r="C203" t="s">
        <v>16</v>
      </c>
      <c r="D203" s="6">
        <v>46091</v>
      </c>
      <c r="E203" s="2">
        <f t="shared" ref="E203" si="114">IF(C203&lt;&gt;"",D203+VLOOKUP(C203,$T$2:$U$6,2,FALSE),"")</f>
        <v>46121</v>
      </c>
      <c r="F203">
        <f t="shared" ref="F203" ca="1" si="115">IF(E203&lt;&gt;"",E203-TODAY(),"")</f>
        <v>14</v>
      </c>
      <c r="G203">
        <v>5</v>
      </c>
      <c r="H203">
        <v>35</v>
      </c>
      <c r="I203">
        <f t="shared" ref="I203" si="116">IF(H203&lt;&gt;"",H203-G203,"")</f>
        <v>30</v>
      </c>
      <c r="J203" t="s">
        <v>89</v>
      </c>
      <c r="K203" s="6">
        <v>46087</v>
      </c>
      <c r="L203" t="s">
        <v>91</v>
      </c>
      <c r="M203" t="s">
        <v>92</v>
      </c>
      <c r="N203" t="s">
        <v>94</v>
      </c>
    </row>
    <row r="204" spans="1:14" x14ac:dyDescent="0.25">
      <c r="A204" t="s">
        <v>252</v>
      </c>
      <c r="B204" t="s">
        <v>85</v>
      </c>
      <c r="C204" t="s">
        <v>16</v>
      </c>
      <c r="D204" s="6">
        <v>46091</v>
      </c>
      <c r="E204" s="2">
        <f t="shared" ref="E204" si="117">IF(C204&lt;&gt;"",D204+VLOOKUP(C204,$T$2:$U$6,2,FALSE),"")</f>
        <v>46121</v>
      </c>
      <c r="F204">
        <f t="shared" ref="F204" ca="1" si="118">IF(E204&lt;&gt;"",E204-TODAY(),"")</f>
        <v>14</v>
      </c>
      <c r="G204">
        <v>5</v>
      </c>
      <c r="H204">
        <v>35</v>
      </c>
      <c r="I204">
        <f t="shared" ref="I204" si="119">IF(H204&lt;&gt;"",H204-G204,"")</f>
        <v>30</v>
      </c>
      <c r="J204" t="s">
        <v>89</v>
      </c>
      <c r="K204" s="6">
        <v>46087</v>
      </c>
      <c r="L204" t="s">
        <v>91</v>
      </c>
      <c r="M204" t="s">
        <v>92</v>
      </c>
      <c r="N204" t="s">
        <v>94</v>
      </c>
    </row>
    <row r="205" spans="1:14" x14ac:dyDescent="0.25">
      <c r="A205" t="s">
        <v>253</v>
      </c>
      <c r="B205" t="s">
        <v>85</v>
      </c>
      <c r="C205" t="s">
        <v>16</v>
      </c>
      <c r="D205" s="6">
        <v>46091</v>
      </c>
      <c r="E205" s="2">
        <f t="shared" ref="E205" si="120">IF(C205&lt;&gt;"",D205+VLOOKUP(C205,$T$2:$U$6,2,FALSE),"")</f>
        <v>46121</v>
      </c>
      <c r="F205">
        <f t="shared" ref="F205" ca="1" si="121">IF(E205&lt;&gt;"",E205-TODAY(),"")</f>
        <v>14</v>
      </c>
      <c r="G205">
        <v>5</v>
      </c>
      <c r="H205">
        <v>35</v>
      </c>
      <c r="I205">
        <f t="shared" ref="I205" si="122">IF(H205&lt;&gt;"",H205-G205,"")</f>
        <v>30</v>
      </c>
      <c r="J205" t="s">
        <v>89</v>
      </c>
      <c r="K205" s="6">
        <v>46087</v>
      </c>
      <c r="L205" t="s">
        <v>91</v>
      </c>
      <c r="M205" t="s">
        <v>92</v>
      </c>
      <c r="N205" t="s">
        <v>94</v>
      </c>
    </row>
    <row r="206" spans="1:14" x14ac:dyDescent="0.25">
      <c r="A206" t="s">
        <v>254</v>
      </c>
      <c r="B206" t="s">
        <v>85</v>
      </c>
      <c r="C206" t="s">
        <v>16</v>
      </c>
      <c r="D206" s="6">
        <v>46091</v>
      </c>
      <c r="E206" s="2">
        <f t="shared" ref="E206" si="123">IF(C206&lt;&gt;"",D206+VLOOKUP(C206,$T$2:$U$6,2,FALSE),"")</f>
        <v>46121</v>
      </c>
      <c r="F206">
        <f t="shared" ref="F206" ca="1" si="124">IF(E206&lt;&gt;"",E206-TODAY(),"")</f>
        <v>14</v>
      </c>
      <c r="G206">
        <v>5</v>
      </c>
      <c r="H206">
        <v>35</v>
      </c>
      <c r="I206">
        <f t="shared" ref="I206" si="125">IF(H206&lt;&gt;"",H206-G206,"")</f>
        <v>30</v>
      </c>
      <c r="J206" t="s">
        <v>89</v>
      </c>
      <c r="K206" s="6">
        <v>46087</v>
      </c>
      <c r="L206" t="s">
        <v>91</v>
      </c>
      <c r="M206" t="s">
        <v>92</v>
      </c>
      <c r="N206" t="s">
        <v>94</v>
      </c>
    </row>
    <row r="207" spans="1:14" x14ac:dyDescent="0.25">
      <c r="A207" t="s">
        <v>255</v>
      </c>
      <c r="B207" t="s">
        <v>85</v>
      </c>
      <c r="C207" t="s">
        <v>16</v>
      </c>
      <c r="D207" s="6">
        <v>46091</v>
      </c>
      <c r="E207" s="2">
        <f t="shared" ref="E207:E209" si="126">IF(C207&lt;&gt;"",D207+VLOOKUP(C207,$T$2:$U$6,2,FALSE),"")</f>
        <v>46121</v>
      </c>
      <c r="F207">
        <f t="shared" ref="F207:F209" ca="1" si="127">IF(E207&lt;&gt;"",E207-TODAY(),"")</f>
        <v>14</v>
      </c>
      <c r="G207">
        <v>5</v>
      </c>
      <c r="H207">
        <v>35</v>
      </c>
      <c r="I207">
        <f t="shared" ref="I207:I209" si="128">IF(H207&lt;&gt;"",H207-G207,"")</f>
        <v>30</v>
      </c>
      <c r="J207" t="s">
        <v>89</v>
      </c>
      <c r="K207" s="6">
        <v>46087</v>
      </c>
      <c r="L207" t="s">
        <v>91</v>
      </c>
      <c r="M207" t="s">
        <v>92</v>
      </c>
      <c r="N207" t="s">
        <v>94</v>
      </c>
    </row>
    <row r="208" spans="1:14" x14ac:dyDescent="0.25">
      <c r="A208" t="s">
        <v>256</v>
      </c>
      <c r="B208" t="s">
        <v>87</v>
      </c>
      <c r="C208" t="s">
        <v>20</v>
      </c>
      <c r="D208" s="6">
        <v>46091</v>
      </c>
      <c r="E208" s="2">
        <f t="shared" si="126"/>
        <v>46456</v>
      </c>
      <c r="F208">
        <f t="shared" ca="1" si="127"/>
        <v>349</v>
      </c>
      <c r="G208">
        <v>20</v>
      </c>
      <c r="H208">
        <v>250</v>
      </c>
      <c r="I208">
        <f t="shared" si="128"/>
        <v>230</v>
      </c>
      <c r="J208" t="s">
        <v>89</v>
      </c>
      <c r="K208" s="6">
        <v>46091</v>
      </c>
      <c r="L208" t="s">
        <v>91</v>
      </c>
      <c r="M208" t="s">
        <v>92</v>
      </c>
      <c r="N208" t="s">
        <v>94</v>
      </c>
    </row>
    <row r="209" spans="1:14" x14ac:dyDescent="0.25">
      <c r="A209" t="s">
        <v>257</v>
      </c>
      <c r="B209" t="s">
        <v>177</v>
      </c>
      <c r="C209" t="s">
        <v>16</v>
      </c>
      <c r="D209" s="6">
        <v>46092</v>
      </c>
      <c r="E209" s="2">
        <f t="shared" si="126"/>
        <v>46122</v>
      </c>
      <c r="F209">
        <f t="shared" ca="1" si="127"/>
        <v>15</v>
      </c>
      <c r="G209">
        <v>10</v>
      </c>
      <c r="H209">
        <v>50</v>
      </c>
      <c r="I209">
        <f t="shared" si="128"/>
        <v>40</v>
      </c>
      <c r="J209" t="s">
        <v>89</v>
      </c>
      <c r="K209" s="6">
        <v>46089</v>
      </c>
      <c r="L209" t="s">
        <v>91</v>
      </c>
      <c r="M209" t="s">
        <v>92</v>
      </c>
      <c r="N209" t="s">
        <v>94</v>
      </c>
    </row>
    <row r="210" spans="1:14" x14ac:dyDescent="0.25">
      <c r="A210" t="s">
        <v>258</v>
      </c>
      <c r="B210" t="s">
        <v>30</v>
      </c>
      <c r="C210" t="s">
        <v>18</v>
      </c>
      <c r="D210" s="6">
        <v>46092</v>
      </c>
      <c r="E210" s="2">
        <f t="shared" ref="E210:E232" si="129">IF(C210&lt;&gt;"",D210+VLOOKUP(C210,$T$2:$U$6,2,FALSE),"")</f>
        <v>46182</v>
      </c>
      <c r="F210">
        <f t="shared" ref="F210:F232" ca="1" si="130">IF(E210&lt;&gt;"",E210-TODAY(),"")</f>
        <v>75</v>
      </c>
      <c r="G210">
        <v>15</v>
      </c>
      <c r="H210">
        <v>70</v>
      </c>
      <c r="I210">
        <f t="shared" ref="I210:I232" si="131">IF(H210&lt;&gt;"",H210-G210,"")</f>
        <v>55</v>
      </c>
      <c r="J210" t="s">
        <v>89</v>
      </c>
      <c r="K210" s="6">
        <v>46092</v>
      </c>
      <c r="L210" t="s">
        <v>91</v>
      </c>
      <c r="M210" t="s">
        <v>92</v>
      </c>
      <c r="N210" t="s">
        <v>94</v>
      </c>
    </row>
    <row r="211" spans="1:14" x14ac:dyDescent="0.25">
      <c r="A211" t="s">
        <v>259</v>
      </c>
      <c r="B211" t="s">
        <v>177</v>
      </c>
      <c r="C211" t="s">
        <v>16</v>
      </c>
      <c r="D211" s="6">
        <v>46092</v>
      </c>
      <c r="E211" s="2">
        <f t="shared" si="129"/>
        <v>46122</v>
      </c>
      <c r="F211">
        <f t="shared" ca="1" si="130"/>
        <v>15</v>
      </c>
      <c r="G211">
        <v>10</v>
      </c>
      <c r="H211">
        <v>50</v>
      </c>
      <c r="I211">
        <f t="shared" si="131"/>
        <v>40</v>
      </c>
      <c r="J211" t="s">
        <v>89</v>
      </c>
      <c r="K211" s="6">
        <v>46089</v>
      </c>
      <c r="L211" t="s">
        <v>91</v>
      </c>
      <c r="M211" t="s">
        <v>92</v>
      </c>
      <c r="N211" t="s">
        <v>94</v>
      </c>
    </row>
    <row r="212" spans="1:14" x14ac:dyDescent="0.25">
      <c r="A212" t="s">
        <v>260</v>
      </c>
      <c r="B212" t="s">
        <v>85</v>
      </c>
      <c r="C212" t="s">
        <v>16</v>
      </c>
      <c r="D212" s="6">
        <v>46092</v>
      </c>
      <c r="E212" s="2">
        <f t="shared" si="129"/>
        <v>46122</v>
      </c>
      <c r="F212">
        <f t="shared" ca="1" si="130"/>
        <v>15</v>
      </c>
      <c r="G212">
        <v>5</v>
      </c>
      <c r="H212">
        <v>35</v>
      </c>
      <c r="I212">
        <f t="shared" si="131"/>
        <v>30</v>
      </c>
      <c r="J212" t="s">
        <v>89</v>
      </c>
      <c r="K212" s="6">
        <v>46087</v>
      </c>
      <c r="L212" t="s">
        <v>91</v>
      </c>
      <c r="M212" t="s">
        <v>92</v>
      </c>
      <c r="N212" t="s">
        <v>94</v>
      </c>
    </row>
    <row r="213" spans="1:14" x14ac:dyDescent="0.25">
      <c r="A213" t="s">
        <v>261</v>
      </c>
      <c r="B213" t="s">
        <v>85</v>
      </c>
      <c r="C213" t="s">
        <v>16</v>
      </c>
      <c r="D213" s="6">
        <v>46092</v>
      </c>
      <c r="E213" s="2">
        <f t="shared" ref="E213" si="132">IF(C213&lt;&gt;"",D213+VLOOKUP(C213,$T$2:$U$6,2,FALSE),"")</f>
        <v>46122</v>
      </c>
      <c r="F213">
        <f t="shared" ref="F213" ca="1" si="133">IF(E213&lt;&gt;"",E213-TODAY(),"")</f>
        <v>15</v>
      </c>
      <c r="G213">
        <v>5</v>
      </c>
      <c r="H213">
        <v>35</v>
      </c>
      <c r="I213">
        <f t="shared" ref="I213" si="134">IF(H213&lt;&gt;"",H213-G213,"")</f>
        <v>30</v>
      </c>
      <c r="J213" t="s">
        <v>89</v>
      </c>
      <c r="K213" s="6">
        <v>46087</v>
      </c>
      <c r="L213" t="s">
        <v>91</v>
      </c>
      <c r="M213" t="s">
        <v>92</v>
      </c>
      <c r="N213" t="s">
        <v>94</v>
      </c>
    </row>
    <row r="214" spans="1:14" x14ac:dyDescent="0.25">
      <c r="A214" t="s">
        <v>262</v>
      </c>
      <c r="B214" t="s">
        <v>85</v>
      </c>
      <c r="C214" t="s">
        <v>16</v>
      </c>
      <c r="D214" s="6">
        <v>46092</v>
      </c>
      <c r="E214" s="2">
        <f t="shared" ref="E214" si="135">IF(C214&lt;&gt;"",D214+VLOOKUP(C214,$T$2:$U$6,2,FALSE),"")</f>
        <v>46122</v>
      </c>
      <c r="F214">
        <f t="shared" ref="F214" ca="1" si="136">IF(E214&lt;&gt;"",E214-TODAY(),"")</f>
        <v>15</v>
      </c>
      <c r="G214">
        <v>5</v>
      </c>
      <c r="H214">
        <v>35</v>
      </c>
      <c r="I214">
        <f t="shared" ref="I214" si="137">IF(H214&lt;&gt;"",H214-G214,"")</f>
        <v>30</v>
      </c>
      <c r="J214" t="s">
        <v>89</v>
      </c>
      <c r="K214" s="6">
        <v>46087</v>
      </c>
      <c r="L214" t="s">
        <v>91</v>
      </c>
      <c r="M214" t="s">
        <v>92</v>
      </c>
      <c r="N214" t="s">
        <v>94</v>
      </c>
    </row>
    <row r="215" spans="1:14" x14ac:dyDescent="0.25">
      <c r="A215" t="s">
        <v>263</v>
      </c>
      <c r="B215" t="s">
        <v>85</v>
      </c>
      <c r="C215" t="s">
        <v>16</v>
      </c>
      <c r="D215" s="6">
        <v>46093</v>
      </c>
      <c r="E215" s="2">
        <f t="shared" ref="E215:E216" si="138">IF(C215&lt;&gt;"",D215+VLOOKUP(C215,$T$2:$U$6,2,FALSE),"")</f>
        <v>46123</v>
      </c>
      <c r="F215">
        <f t="shared" ref="F215:F216" ca="1" si="139">IF(E215&lt;&gt;"",E215-TODAY(),"")</f>
        <v>16</v>
      </c>
      <c r="G215">
        <v>5</v>
      </c>
      <c r="H215">
        <v>35</v>
      </c>
      <c r="I215">
        <f t="shared" ref="I215:I216" si="140">IF(H215&lt;&gt;"",H215-G215,"")</f>
        <v>30</v>
      </c>
      <c r="J215" t="s">
        <v>89</v>
      </c>
      <c r="K215" s="6">
        <v>46087</v>
      </c>
      <c r="L215" t="s">
        <v>91</v>
      </c>
      <c r="M215" t="s">
        <v>92</v>
      </c>
      <c r="N215" t="s">
        <v>94</v>
      </c>
    </row>
    <row r="216" spans="1:14" x14ac:dyDescent="0.25">
      <c r="A216" s="3" t="s">
        <v>264</v>
      </c>
      <c r="B216" t="s">
        <v>177</v>
      </c>
      <c r="C216" t="s">
        <v>16</v>
      </c>
      <c r="D216" s="6">
        <v>46093</v>
      </c>
      <c r="E216" s="2">
        <f t="shared" si="138"/>
        <v>46123</v>
      </c>
      <c r="F216">
        <f t="shared" ca="1" si="139"/>
        <v>16</v>
      </c>
      <c r="G216">
        <v>10</v>
      </c>
      <c r="H216">
        <v>50</v>
      </c>
      <c r="I216">
        <f t="shared" si="140"/>
        <v>40</v>
      </c>
      <c r="J216" t="s">
        <v>89</v>
      </c>
      <c r="K216" s="6">
        <v>46089</v>
      </c>
      <c r="L216" t="s">
        <v>91</v>
      </c>
      <c r="M216" t="s">
        <v>92</v>
      </c>
      <c r="N216" t="s">
        <v>94</v>
      </c>
    </row>
    <row r="217" spans="1:14" x14ac:dyDescent="0.25">
      <c r="A217" s="3" t="s">
        <v>265</v>
      </c>
      <c r="B217" t="s">
        <v>85</v>
      </c>
      <c r="C217" t="s">
        <v>16</v>
      </c>
      <c r="D217" s="6">
        <v>46093</v>
      </c>
      <c r="E217" s="2">
        <f t="shared" ref="E217" si="141">IF(C217&lt;&gt;"",D217+VLOOKUP(C217,$T$2:$U$6,2,FALSE),"")</f>
        <v>46123</v>
      </c>
      <c r="F217">
        <f t="shared" ref="F217" ca="1" si="142">IF(E217&lt;&gt;"",E217-TODAY(),"")</f>
        <v>16</v>
      </c>
      <c r="G217">
        <v>5</v>
      </c>
      <c r="H217">
        <v>35</v>
      </c>
      <c r="I217">
        <f t="shared" ref="I217" si="143">IF(H217&lt;&gt;"",H217-G217,"")</f>
        <v>30</v>
      </c>
      <c r="J217" t="s">
        <v>89</v>
      </c>
      <c r="K217" s="6">
        <v>46087</v>
      </c>
      <c r="L217" t="s">
        <v>91</v>
      </c>
      <c r="M217" t="s">
        <v>92</v>
      </c>
      <c r="N217" t="s">
        <v>94</v>
      </c>
    </row>
    <row r="218" spans="1:14" x14ac:dyDescent="0.25">
      <c r="A218" t="s">
        <v>266</v>
      </c>
      <c r="B218" t="s">
        <v>85</v>
      </c>
      <c r="C218" t="s">
        <v>16</v>
      </c>
      <c r="D218" s="6">
        <v>46093</v>
      </c>
      <c r="E218" s="2">
        <f t="shared" ref="E218" si="144">IF(C218&lt;&gt;"",D218+VLOOKUP(C218,$T$2:$U$6,2,FALSE),"")</f>
        <v>46123</v>
      </c>
      <c r="F218">
        <f t="shared" ref="F218" ca="1" si="145">IF(E218&lt;&gt;"",E218-TODAY(),"")</f>
        <v>16</v>
      </c>
      <c r="G218">
        <v>5</v>
      </c>
      <c r="H218">
        <v>35</v>
      </c>
      <c r="I218">
        <f t="shared" ref="I218" si="146">IF(H218&lt;&gt;"",H218-G218,"")</f>
        <v>30</v>
      </c>
      <c r="J218" t="s">
        <v>89</v>
      </c>
      <c r="K218" s="6">
        <v>46087</v>
      </c>
      <c r="L218" t="s">
        <v>91</v>
      </c>
      <c r="M218" t="s">
        <v>92</v>
      </c>
      <c r="N218" t="s">
        <v>94</v>
      </c>
    </row>
    <row r="219" spans="1:14" x14ac:dyDescent="0.25">
      <c r="A219" t="s">
        <v>267</v>
      </c>
      <c r="B219" t="s">
        <v>85</v>
      </c>
      <c r="C219" t="s">
        <v>16</v>
      </c>
      <c r="D219" s="6">
        <v>46093</v>
      </c>
      <c r="E219" s="2">
        <f t="shared" ref="E219" si="147">IF(C219&lt;&gt;"",D219+VLOOKUP(C219,$T$2:$U$6,2,FALSE),"")</f>
        <v>46123</v>
      </c>
      <c r="F219">
        <v>30</v>
      </c>
      <c r="G219">
        <v>5</v>
      </c>
      <c r="H219">
        <v>25</v>
      </c>
      <c r="I219">
        <f t="shared" ref="I219" si="148">IF(H219&lt;&gt;"",H219-G219,"")</f>
        <v>20</v>
      </c>
      <c r="J219" t="s">
        <v>89</v>
      </c>
      <c r="K219" s="6">
        <v>46087</v>
      </c>
      <c r="L219" t="s">
        <v>91</v>
      </c>
      <c r="M219" t="s">
        <v>92</v>
      </c>
      <c r="N219" t="s">
        <v>94</v>
      </c>
    </row>
    <row r="220" spans="1:14" x14ac:dyDescent="0.25">
      <c r="A220" t="s">
        <v>270</v>
      </c>
      <c r="B220" t="s">
        <v>85</v>
      </c>
      <c r="C220" t="s">
        <v>16</v>
      </c>
      <c r="D220" s="6">
        <v>46093</v>
      </c>
      <c r="E220" s="2">
        <f t="shared" ref="E220" si="149">IF(C220&lt;&gt;"",D220+VLOOKUP(C220,$T$2:$U$6,2,FALSE),"")</f>
        <v>46123</v>
      </c>
      <c r="F220">
        <v>30</v>
      </c>
      <c r="G220">
        <v>5</v>
      </c>
      <c r="H220">
        <v>25</v>
      </c>
      <c r="I220">
        <f t="shared" ref="I220" si="150">IF(H220&lt;&gt;"",H220-G220,"")</f>
        <v>20</v>
      </c>
      <c r="J220" t="s">
        <v>198</v>
      </c>
      <c r="K220" s="6">
        <v>46087</v>
      </c>
      <c r="L220" t="s">
        <v>91</v>
      </c>
      <c r="M220" t="s">
        <v>92</v>
      </c>
      <c r="N220" t="s">
        <v>94</v>
      </c>
    </row>
    <row r="221" spans="1:14" x14ac:dyDescent="0.25">
      <c r="A221" t="s">
        <v>268</v>
      </c>
      <c r="B221" t="s">
        <v>85</v>
      </c>
      <c r="C221" t="s">
        <v>16</v>
      </c>
      <c r="D221" s="6">
        <v>46093</v>
      </c>
      <c r="E221" s="2">
        <f t="shared" ref="E221" si="151">IF(C221&lt;&gt;"",D221+VLOOKUP(C221,$T$2:$U$6,2,FALSE),"")</f>
        <v>46123</v>
      </c>
      <c r="F221">
        <v>30</v>
      </c>
      <c r="G221">
        <v>5</v>
      </c>
      <c r="H221">
        <v>35</v>
      </c>
      <c r="I221">
        <f t="shared" ref="I221" si="152">IF(H221&lt;&gt;"",H221-G221,"")</f>
        <v>30</v>
      </c>
      <c r="J221" t="s">
        <v>89</v>
      </c>
      <c r="K221" s="6">
        <v>46087</v>
      </c>
      <c r="L221" t="s">
        <v>91</v>
      </c>
      <c r="M221" t="s">
        <v>92</v>
      </c>
      <c r="N221" t="s">
        <v>94</v>
      </c>
    </row>
    <row r="222" spans="1:14" x14ac:dyDescent="0.25">
      <c r="A222" t="s">
        <v>269</v>
      </c>
      <c r="B222" t="s">
        <v>85</v>
      </c>
      <c r="C222" t="s">
        <v>16</v>
      </c>
      <c r="D222" s="6">
        <v>46093</v>
      </c>
      <c r="E222" s="2">
        <f t="shared" ref="E222" si="153">IF(C222&lt;&gt;"",D222+VLOOKUP(C222,$T$2:$U$6,2,FALSE),"")</f>
        <v>46123</v>
      </c>
      <c r="F222">
        <v>30</v>
      </c>
      <c r="G222">
        <v>5</v>
      </c>
      <c r="H222">
        <v>35</v>
      </c>
      <c r="I222">
        <f t="shared" ref="I222" si="154">IF(H222&lt;&gt;"",H222-G222,"")</f>
        <v>30</v>
      </c>
      <c r="J222" t="s">
        <v>89</v>
      </c>
      <c r="K222" s="6">
        <v>46087</v>
      </c>
      <c r="L222" t="s">
        <v>91</v>
      </c>
      <c r="M222" t="s">
        <v>92</v>
      </c>
      <c r="N222" t="s">
        <v>94</v>
      </c>
    </row>
    <row r="223" spans="1:14" x14ac:dyDescent="0.25">
      <c r="A223" t="s">
        <v>163</v>
      </c>
      <c r="B223" t="s">
        <v>85</v>
      </c>
      <c r="C223" t="s">
        <v>16</v>
      </c>
      <c r="D223" s="6">
        <v>46093</v>
      </c>
      <c r="E223" s="2">
        <f t="shared" ref="E223:E224" si="155">IF(C223&lt;&gt;"",D223+VLOOKUP(C223,$T$2:$U$6,2,FALSE),"")</f>
        <v>46123</v>
      </c>
      <c r="F223">
        <v>30</v>
      </c>
      <c r="G223">
        <v>5</v>
      </c>
      <c r="H223">
        <v>35</v>
      </c>
      <c r="I223">
        <f t="shared" ref="I223:I224" si="156">IF(H223&lt;&gt;"",H223-G223,"")</f>
        <v>30</v>
      </c>
      <c r="J223" t="s">
        <v>89</v>
      </c>
      <c r="K223" s="6">
        <v>46087</v>
      </c>
      <c r="L223" t="s">
        <v>91</v>
      </c>
      <c r="M223" t="s">
        <v>92</v>
      </c>
      <c r="N223" t="s">
        <v>94</v>
      </c>
    </row>
    <row r="224" spans="1:14" x14ac:dyDescent="0.25">
      <c r="A224" t="s">
        <v>73</v>
      </c>
      <c r="B224" t="s">
        <v>177</v>
      </c>
      <c r="C224" t="s">
        <v>16</v>
      </c>
      <c r="D224" s="6">
        <v>46093</v>
      </c>
      <c r="E224" s="2">
        <f t="shared" si="155"/>
        <v>46123</v>
      </c>
      <c r="F224">
        <f t="shared" ref="F224" ca="1" si="157">IF(E224&lt;&gt;"",E224-TODAY(),"")</f>
        <v>16</v>
      </c>
      <c r="G224">
        <v>10</v>
      </c>
      <c r="H224">
        <v>50</v>
      </c>
      <c r="I224">
        <f t="shared" si="156"/>
        <v>40</v>
      </c>
      <c r="J224" t="s">
        <v>89</v>
      </c>
      <c r="K224" s="6">
        <v>46089</v>
      </c>
      <c r="L224" t="s">
        <v>91</v>
      </c>
      <c r="M224" t="s">
        <v>92</v>
      </c>
      <c r="N224" t="s">
        <v>94</v>
      </c>
    </row>
    <row r="225" spans="1:14" x14ac:dyDescent="0.25">
      <c r="A225" t="s">
        <v>271</v>
      </c>
      <c r="B225" t="s">
        <v>85</v>
      </c>
      <c r="C225" t="s">
        <v>16</v>
      </c>
      <c r="D225" s="6">
        <v>46093</v>
      </c>
      <c r="E225" s="2">
        <f t="shared" si="129"/>
        <v>46123</v>
      </c>
      <c r="F225">
        <v>30</v>
      </c>
      <c r="G225">
        <v>5</v>
      </c>
      <c r="H225">
        <v>35</v>
      </c>
      <c r="I225">
        <f t="shared" si="131"/>
        <v>30</v>
      </c>
      <c r="J225" t="s">
        <v>89</v>
      </c>
      <c r="K225" s="6">
        <v>46087</v>
      </c>
      <c r="L225" t="s">
        <v>91</v>
      </c>
      <c r="M225" t="s">
        <v>92</v>
      </c>
      <c r="N225" t="s">
        <v>94</v>
      </c>
    </row>
    <row r="226" spans="1:14" x14ac:dyDescent="0.25">
      <c r="A226" t="s">
        <v>272</v>
      </c>
      <c r="B226" t="s">
        <v>85</v>
      </c>
      <c r="C226" t="s">
        <v>16</v>
      </c>
      <c r="D226" s="6">
        <v>46093</v>
      </c>
      <c r="E226" s="2">
        <f t="shared" ref="E226" si="158">IF(C226&lt;&gt;"",D226+VLOOKUP(C226,$T$2:$U$6,2,FALSE),"")</f>
        <v>46123</v>
      </c>
      <c r="F226">
        <v>30</v>
      </c>
      <c r="G226">
        <v>5</v>
      </c>
      <c r="H226">
        <v>35</v>
      </c>
      <c r="I226">
        <f t="shared" ref="I226" si="159">IF(H226&lt;&gt;"",H226-G226,"")</f>
        <v>30</v>
      </c>
      <c r="J226" t="s">
        <v>89</v>
      </c>
      <c r="K226" s="6">
        <v>46087</v>
      </c>
      <c r="L226" t="s">
        <v>91</v>
      </c>
      <c r="M226" t="s">
        <v>92</v>
      </c>
      <c r="N226" t="s">
        <v>94</v>
      </c>
    </row>
    <row r="227" spans="1:14" x14ac:dyDescent="0.25">
      <c r="A227" t="s">
        <v>273</v>
      </c>
      <c r="B227" t="s">
        <v>85</v>
      </c>
      <c r="C227" t="s">
        <v>16</v>
      </c>
      <c r="D227" s="6">
        <v>46093</v>
      </c>
      <c r="E227" s="2">
        <f t="shared" ref="E227" si="160">IF(C227&lt;&gt;"",D227+VLOOKUP(C227,$T$2:$U$6,2,FALSE),"")</f>
        <v>46123</v>
      </c>
      <c r="F227">
        <v>30</v>
      </c>
      <c r="G227">
        <v>5</v>
      </c>
      <c r="H227">
        <v>35</v>
      </c>
      <c r="I227">
        <f t="shared" ref="I227" si="161">IF(H227&lt;&gt;"",H227-G227,"")</f>
        <v>30</v>
      </c>
      <c r="J227" t="s">
        <v>89</v>
      </c>
      <c r="K227" s="6">
        <v>46087</v>
      </c>
      <c r="L227" t="s">
        <v>91</v>
      </c>
      <c r="M227" t="s">
        <v>92</v>
      </c>
      <c r="N227" t="s">
        <v>94</v>
      </c>
    </row>
    <row r="228" spans="1:14" x14ac:dyDescent="0.25">
      <c r="A228" t="s">
        <v>274</v>
      </c>
      <c r="B228" t="s">
        <v>85</v>
      </c>
      <c r="C228" t="s">
        <v>16</v>
      </c>
      <c r="D228" s="6">
        <v>46093</v>
      </c>
      <c r="E228" s="2">
        <f t="shared" ref="E228:E229" si="162">IF(C228&lt;&gt;"",D228+VLOOKUP(C228,$T$2:$U$6,2,FALSE),"")</f>
        <v>46123</v>
      </c>
      <c r="F228">
        <v>30</v>
      </c>
      <c r="G228">
        <v>5</v>
      </c>
      <c r="H228">
        <v>35</v>
      </c>
      <c r="I228">
        <f t="shared" ref="I228:I229" si="163">IF(H228&lt;&gt;"",H228-G228,"")</f>
        <v>30</v>
      </c>
      <c r="J228" t="s">
        <v>89</v>
      </c>
      <c r="K228" s="6">
        <v>46087</v>
      </c>
      <c r="L228" t="s">
        <v>91</v>
      </c>
      <c r="M228" t="s">
        <v>92</v>
      </c>
      <c r="N228" t="s">
        <v>94</v>
      </c>
    </row>
    <row r="229" spans="1:14" x14ac:dyDescent="0.25">
      <c r="A229" t="s">
        <v>277</v>
      </c>
      <c r="B229" t="s">
        <v>85</v>
      </c>
      <c r="C229" t="s">
        <v>16</v>
      </c>
      <c r="D229" s="6">
        <v>46093</v>
      </c>
      <c r="E229" s="2">
        <f t="shared" si="162"/>
        <v>46123</v>
      </c>
      <c r="F229">
        <v>30</v>
      </c>
      <c r="G229">
        <v>5</v>
      </c>
      <c r="H229">
        <v>35</v>
      </c>
      <c r="I229">
        <f t="shared" si="163"/>
        <v>30</v>
      </c>
      <c r="J229" t="s">
        <v>89</v>
      </c>
      <c r="K229" s="6">
        <v>46087</v>
      </c>
      <c r="L229" t="s">
        <v>91</v>
      </c>
      <c r="M229" t="s">
        <v>92</v>
      </c>
      <c r="N229" t="s">
        <v>94</v>
      </c>
    </row>
    <row r="230" spans="1:14" x14ac:dyDescent="0.25">
      <c r="A230" t="s">
        <v>275</v>
      </c>
      <c r="B230" t="s">
        <v>85</v>
      </c>
      <c r="C230" t="s">
        <v>16</v>
      </c>
      <c r="D230" s="6">
        <v>46093</v>
      </c>
      <c r="E230" s="2">
        <f t="shared" si="129"/>
        <v>46123</v>
      </c>
      <c r="F230">
        <v>30</v>
      </c>
      <c r="G230">
        <v>5</v>
      </c>
      <c r="H230">
        <v>35</v>
      </c>
      <c r="I230">
        <f t="shared" si="131"/>
        <v>30</v>
      </c>
      <c r="J230" t="s">
        <v>89</v>
      </c>
      <c r="K230" s="6">
        <v>46087</v>
      </c>
      <c r="L230" t="s">
        <v>91</v>
      </c>
      <c r="M230" t="s">
        <v>92</v>
      </c>
      <c r="N230" t="s">
        <v>94</v>
      </c>
    </row>
    <row r="231" spans="1:14" x14ac:dyDescent="0.25">
      <c r="A231" t="s">
        <v>276</v>
      </c>
      <c r="B231" t="s">
        <v>85</v>
      </c>
      <c r="C231" t="s">
        <v>16</v>
      </c>
      <c r="D231" s="6">
        <v>46093</v>
      </c>
      <c r="E231" s="2">
        <f t="shared" si="129"/>
        <v>46123</v>
      </c>
      <c r="F231">
        <v>30</v>
      </c>
      <c r="G231">
        <v>5</v>
      </c>
      <c r="H231">
        <v>35</v>
      </c>
      <c r="I231">
        <f t="shared" si="131"/>
        <v>30</v>
      </c>
      <c r="J231" t="s">
        <v>90</v>
      </c>
      <c r="K231" s="6">
        <v>46087</v>
      </c>
      <c r="L231" t="s">
        <v>91</v>
      </c>
      <c r="M231" t="s">
        <v>92</v>
      </c>
      <c r="N231" t="s">
        <v>94</v>
      </c>
    </row>
    <row r="232" spans="1:14" x14ac:dyDescent="0.25">
      <c r="A232" s="3" t="s">
        <v>278</v>
      </c>
      <c r="B232" t="s">
        <v>85</v>
      </c>
      <c r="C232" t="s">
        <v>16</v>
      </c>
      <c r="D232" s="8">
        <v>46094</v>
      </c>
      <c r="E232" s="2">
        <f t="shared" si="129"/>
        <v>46124</v>
      </c>
      <c r="F232">
        <f t="shared" ca="1" si="130"/>
        <v>17</v>
      </c>
      <c r="G232">
        <v>5</v>
      </c>
      <c r="H232">
        <v>35</v>
      </c>
      <c r="I232">
        <f t="shared" si="131"/>
        <v>30</v>
      </c>
      <c r="J232" t="s">
        <v>89</v>
      </c>
      <c r="K232" s="6">
        <v>46100</v>
      </c>
      <c r="L232" t="s">
        <v>91</v>
      </c>
      <c r="M232" t="s">
        <v>92</v>
      </c>
      <c r="N232" t="s">
        <v>94</v>
      </c>
    </row>
    <row r="233" spans="1:14" x14ac:dyDescent="0.25">
      <c r="A233" t="s">
        <v>279</v>
      </c>
      <c r="B233" t="s">
        <v>85</v>
      </c>
      <c r="C233" t="s">
        <v>16</v>
      </c>
      <c r="D233" s="8">
        <v>46094</v>
      </c>
      <c r="E233" s="2">
        <f t="shared" ref="E233:E234" si="164">IF(C233&lt;&gt;"",D233+VLOOKUP(C233,$T$2:$U$6,2,FALSE),"")</f>
        <v>46124</v>
      </c>
      <c r="F233">
        <f t="shared" ref="F233:F234" ca="1" si="165">IF(E233&lt;&gt;"",E233-TODAY(),"")</f>
        <v>17</v>
      </c>
      <c r="G233">
        <v>5</v>
      </c>
      <c r="H233">
        <v>35</v>
      </c>
      <c r="I233">
        <f t="shared" ref="I233:I234" si="166">IF(H233&lt;&gt;"",H233-G233,"")</f>
        <v>30</v>
      </c>
      <c r="J233" t="s">
        <v>89</v>
      </c>
      <c r="K233" s="6">
        <v>46100</v>
      </c>
      <c r="L233" t="s">
        <v>91</v>
      </c>
      <c r="M233" t="s">
        <v>92</v>
      </c>
      <c r="N233" t="s">
        <v>94</v>
      </c>
    </row>
    <row r="234" spans="1:14" x14ac:dyDescent="0.25">
      <c r="A234" t="s">
        <v>280</v>
      </c>
      <c r="B234" t="s">
        <v>85</v>
      </c>
      <c r="C234" t="s">
        <v>16</v>
      </c>
      <c r="D234" s="8">
        <v>46095</v>
      </c>
      <c r="E234" s="2">
        <f t="shared" si="164"/>
        <v>46125</v>
      </c>
      <c r="F234">
        <f t="shared" ca="1" si="165"/>
        <v>18</v>
      </c>
      <c r="G234">
        <v>5</v>
      </c>
      <c r="H234">
        <v>35</v>
      </c>
      <c r="I234">
        <f t="shared" si="166"/>
        <v>30</v>
      </c>
      <c r="J234" t="s">
        <v>89</v>
      </c>
      <c r="K234" s="6">
        <v>46100</v>
      </c>
      <c r="L234" t="s">
        <v>91</v>
      </c>
      <c r="M234" t="s">
        <v>92</v>
      </c>
      <c r="N234" t="s">
        <v>94</v>
      </c>
    </row>
    <row r="235" spans="1:14" x14ac:dyDescent="0.25">
      <c r="A235" t="s">
        <v>281</v>
      </c>
      <c r="B235" t="s">
        <v>85</v>
      </c>
      <c r="C235" t="s">
        <v>16</v>
      </c>
      <c r="D235" s="8">
        <v>46095</v>
      </c>
      <c r="E235" s="2">
        <f t="shared" ref="E235" si="167">IF(C235&lt;&gt;"",D235+VLOOKUP(C235,$T$2:$U$6,2,FALSE),"")</f>
        <v>46125</v>
      </c>
      <c r="F235">
        <f t="shared" ref="F235" ca="1" si="168">IF(E235&lt;&gt;"",E235-TODAY(),"")</f>
        <v>18</v>
      </c>
      <c r="G235">
        <v>5</v>
      </c>
      <c r="H235">
        <v>35</v>
      </c>
      <c r="I235">
        <f t="shared" ref="I235" si="169">IF(H235&lt;&gt;"",H235-G235,"")</f>
        <v>30</v>
      </c>
      <c r="J235" t="s">
        <v>90</v>
      </c>
      <c r="K235" s="6">
        <v>46100</v>
      </c>
      <c r="L235" t="s">
        <v>91</v>
      </c>
      <c r="M235" t="s">
        <v>92</v>
      </c>
      <c r="N235" t="s">
        <v>94</v>
      </c>
    </row>
    <row r="236" spans="1:14" x14ac:dyDescent="0.25">
      <c r="A236" t="s">
        <v>282</v>
      </c>
      <c r="B236" t="s">
        <v>85</v>
      </c>
      <c r="C236" t="s">
        <v>16</v>
      </c>
      <c r="D236" s="8">
        <v>46095</v>
      </c>
      <c r="E236" s="2">
        <f t="shared" ref="E236:E237" si="170">IF(C236&lt;&gt;"",D236+VLOOKUP(C236,$T$2:$U$6,2,FALSE),"")</f>
        <v>46125</v>
      </c>
      <c r="F236">
        <f t="shared" ref="F236:F237" ca="1" si="171">IF(E236&lt;&gt;"",E236-TODAY(),"")</f>
        <v>18</v>
      </c>
      <c r="G236">
        <v>5</v>
      </c>
      <c r="H236">
        <v>35</v>
      </c>
      <c r="I236">
        <f t="shared" ref="I236:I237" si="172">IF(H236&lt;&gt;"",H236-G236,"")</f>
        <v>30</v>
      </c>
      <c r="J236" t="s">
        <v>89</v>
      </c>
      <c r="K236" s="6">
        <v>46100</v>
      </c>
      <c r="L236" t="s">
        <v>91</v>
      </c>
      <c r="M236" t="s">
        <v>92</v>
      </c>
      <c r="N236" t="s">
        <v>94</v>
      </c>
    </row>
    <row r="237" spans="1:14" x14ac:dyDescent="0.25">
      <c r="A237" t="s">
        <v>124</v>
      </c>
      <c r="B237" t="s">
        <v>85</v>
      </c>
      <c r="C237" t="s">
        <v>16</v>
      </c>
      <c r="D237" s="8">
        <v>46095</v>
      </c>
      <c r="E237" s="2">
        <f t="shared" si="170"/>
        <v>46125</v>
      </c>
      <c r="F237">
        <f t="shared" ca="1" si="171"/>
        <v>18</v>
      </c>
      <c r="G237">
        <v>5</v>
      </c>
      <c r="H237">
        <v>35</v>
      </c>
      <c r="I237">
        <f t="shared" si="172"/>
        <v>30</v>
      </c>
      <c r="J237" t="s">
        <v>90</v>
      </c>
      <c r="K237" s="6">
        <v>46100</v>
      </c>
      <c r="L237" t="s">
        <v>91</v>
      </c>
      <c r="M237" t="s">
        <v>92</v>
      </c>
      <c r="N237" t="s">
        <v>94</v>
      </c>
    </row>
    <row r="238" spans="1:14" x14ac:dyDescent="0.25">
      <c r="A238" t="s">
        <v>283</v>
      </c>
      <c r="B238" t="s">
        <v>85</v>
      </c>
      <c r="C238" t="s">
        <v>16</v>
      </c>
      <c r="D238" s="8">
        <v>46095</v>
      </c>
      <c r="E238" s="2">
        <f t="shared" ref="E238" si="173">IF(C238&lt;&gt;"",D238+VLOOKUP(C238,$T$2:$U$6,2,FALSE),"")</f>
        <v>46125</v>
      </c>
      <c r="F238">
        <f t="shared" ref="F238" ca="1" si="174">IF(E238&lt;&gt;"",E238-TODAY(),"")</f>
        <v>18</v>
      </c>
      <c r="G238">
        <v>5</v>
      </c>
      <c r="H238">
        <v>35</v>
      </c>
      <c r="I238">
        <f t="shared" ref="I238" si="175">IF(H238&lt;&gt;"",H238-G238,"")</f>
        <v>30</v>
      </c>
      <c r="J238" t="s">
        <v>89</v>
      </c>
      <c r="K238" s="6">
        <v>46100</v>
      </c>
      <c r="L238" t="s">
        <v>91</v>
      </c>
      <c r="M238" t="s">
        <v>92</v>
      </c>
      <c r="N238" t="s">
        <v>94</v>
      </c>
    </row>
    <row r="239" spans="1:14" x14ac:dyDescent="0.25">
      <c r="A239" t="s">
        <v>284</v>
      </c>
      <c r="B239" t="s">
        <v>85</v>
      </c>
      <c r="C239" t="s">
        <v>16</v>
      </c>
      <c r="D239" s="8">
        <v>46095</v>
      </c>
      <c r="E239" s="2">
        <f t="shared" ref="E239:E241" si="176">IF(C239&lt;&gt;"",D239+VLOOKUP(C239,$T$2:$U$6,2,FALSE),"")</f>
        <v>46125</v>
      </c>
      <c r="F239">
        <f t="shared" ref="F239:F241" ca="1" si="177">IF(E239&lt;&gt;"",E239-TODAY(),"")</f>
        <v>18</v>
      </c>
      <c r="G239">
        <v>5</v>
      </c>
      <c r="H239">
        <v>35</v>
      </c>
      <c r="I239">
        <f t="shared" ref="I239:I241" si="178">IF(H239&lt;&gt;"",H239-G239,"")</f>
        <v>30</v>
      </c>
      <c r="J239" t="s">
        <v>89</v>
      </c>
      <c r="K239" s="6">
        <v>46100</v>
      </c>
      <c r="L239" t="s">
        <v>91</v>
      </c>
      <c r="M239" t="s">
        <v>92</v>
      </c>
      <c r="N239" t="s">
        <v>94</v>
      </c>
    </row>
    <row r="240" spans="1:14" x14ac:dyDescent="0.25">
      <c r="A240" t="s">
        <v>285</v>
      </c>
      <c r="B240" t="s">
        <v>85</v>
      </c>
      <c r="C240" t="s">
        <v>16</v>
      </c>
      <c r="D240" s="8">
        <v>46095</v>
      </c>
      <c r="E240" s="2">
        <f t="shared" si="176"/>
        <v>46125</v>
      </c>
      <c r="F240">
        <f t="shared" ca="1" si="177"/>
        <v>18</v>
      </c>
      <c r="G240">
        <v>5</v>
      </c>
      <c r="H240">
        <v>35</v>
      </c>
      <c r="I240">
        <f t="shared" si="178"/>
        <v>30</v>
      </c>
      <c r="J240" t="s">
        <v>89</v>
      </c>
      <c r="K240" s="6">
        <v>46100</v>
      </c>
      <c r="L240" t="s">
        <v>91</v>
      </c>
      <c r="M240" t="s">
        <v>92</v>
      </c>
      <c r="N240" t="s">
        <v>94</v>
      </c>
    </row>
    <row r="241" spans="1:14" x14ac:dyDescent="0.25">
      <c r="A241" t="s">
        <v>286</v>
      </c>
      <c r="B241" t="s">
        <v>85</v>
      </c>
      <c r="C241" t="s">
        <v>16</v>
      </c>
      <c r="D241" s="8">
        <v>46095</v>
      </c>
      <c r="E241" s="2">
        <f t="shared" si="176"/>
        <v>46125</v>
      </c>
      <c r="F241">
        <f t="shared" ca="1" si="177"/>
        <v>18</v>
      </c>
      <c r="G241">
        <v>5</v>
      </c>
      <c r="H241">
        <v>35</v>
      </c>
      <c r="I241">
        <f t="shared" si="178"/>
        <v>30</v>
      </c>
      <c r="J241" t="s">
        <v>89</v>
      </c>
      <c r="K241" s="6">
        <v>46100</v>
      </c>
      <c r="L241" t="s">
        <v>91</v>
      </c>
      <c r="M241" t="s">
        <v>92</v>
      </c>
      <c r="N241" t="s">
        <v>94</v>
      </c>
    </row>
    <row r="242" spans="1:14" x14ac:dyDescent="0.25">
      <c r="A242" t="s">
        <v>287</v>
      </c>
      <c r="B242" t="s">
        <v>85</v>
      </c>
      <c r="C242" t="s">
        <v>16</v>
      </c>
      <c r="D242" s="8">
        <v>46096</v>
      </c>
      <c r="E242" s="2">
        <f t="shared" ref="E242" si="179">IF(C242&lt;&gt;"",D242+VLOOKUP(C242,$T$2:$U$6,2,FALSE),"")</f>
        <v>46126</v>
      </c>
      <c r="F242">
        <f t="shared" ref="F242" ca="1" si="180">IF(E242&lt;&gt;"",E242-TODAY(),"")</f>
        <v>19</v>
      </c>
      <c r="G242">
        <v>5</v>
      </c>
      <c r="H242">
        <v>35</v>
      </c>
      <c r="I242">
        <f t="shared" ref="I242" si="181">IF(H242&lt;&gt;"",H242-G242,"")</f>
        <v>30</v>
      </c>
      <c r="J242" t="s">
        <v>89</v>
      </c>
      <c r="K242" s="6">
        <v>46100</v>
      </c>
      <c r="L242" t="s">
        <v>91</v>
      </c>
      <c r="M242" t="s">
        <v>92</v>
      </c>
      <c r="N242" t="s">
        <v>94</v>
      </c>
    </row>
    <row r="243" spans="1:14" x14ac:dyDescent="0.25">
      <c r="A243" t="s">
        <v>288</v>
      </c>
      <c r="B243" t="s">
        <v>85</v>
      </c>
      <c r="C243" t="s">
        <v>16</v>
      </c>
      <c r="D243" s="8">
        <v>46096</v>
      </c>
      <c r="E243" s="2">
        <f t="shared" ref="E243:E244" si="182">IF(C243&lt;&gt;"",D243+VLOOKUP(C243,$T$2:$U$6,2,FALSE),"")</f>
        <v>46126</v>
      </c>
      <c r="F243">
        <f t="shared" ref="F243:F244" ca="1" si="183">IF(E243&lt;&gt;"",E243-TODAY(),"")</f>
        <v>19</v>
      </c>
      <c r="G243">
        <v>5</v>
      </c>
      <c r="H243">
        <v>35</v>
      </c>
      <c r="I243">
        <f t="shared" ref="I243:I244" si="184">IF(H243&lt;&gt;"",H243-G243,"")</f>
        <v>30</v>
      </c>
      <c r="J243" t="s">
        <v>89</v>
      </c>
      <c r="K243" s="6">
        <v>46100</v>
      </c>
      <c r="L243" t="s">
        <v>91</v>
      </c>
      <c r="M243" t="s">
        <v>92</v>
      </c>
      <c r="N243" t="s">
        <v>94</v>
      </c>
    </row>
    <row r="244" spans="1:14" x14ac:dyDescent="0.25">
      <c r="A244" s="3" t="s">
        <v>289</v>
      </c>
      <c r="B244" t="s">
        <v>85</v>
      </c>
      <c r="C244" t="s">
        <v>16</v>
      </c>
      <c r="D244" s="8">
        <v>46096</v>
      </c>
      <c r="E244" s="2">
        <f t="shared" si="182"/>
        <v>46126</v>
      </c>
      <c r="F244">
        <f t="shared" ca="1" si="183"/>
        <v>19</v>
      </c>
      <c r="G244">
        <v>5</v>
      </c>
      <c r="H244">
        <v>35</v>
      </c>
      <c r="I244">
        <f t="shared" si="184"/>
        <v>30</v>
      </c>
      <c r="J244" t="s">
        <v>89</v>
      </c>
      <c r="K244" s="6">
        <v>46100</v>
      </c>
      <c r="L244" t="s">
        <v>91</v>
      </c>
      <c r="M244" t="s">
        <v>92</v>
      </c>
      <c r="N244" t="s">
        <v>94</v>
      </c>
    </row>
    <row r="245" spans="1:14" x14ac:dyDescent="0.25">
      <c r="A245" t="s">
        <v>290</v>
      </c>
      <c r="B245" t="s">
        <v>85</v>
      </c>
      <c r="C245" t="s">
        <v>16</v>
      </c>
      <c r="D245" s="8">
        <v>46096</v>
      </c>
      <c r="E245" s="2">
        <f t="shared" ref="E245" si="185">IF(C245&lt;&gt;"",D245+VLOOKUP(C245,$T$2:$U$6,2,FALSE),"")</f>
        <v>46126</v>
      </c>
      <c r="F245">
        <f t="shared" ref="F245" ca="1" si="186">IF(E245&lt;&gt;"",E245-TODAY(),"")</f>
        <v>19</v>
      </c>
      <c r="G245">
        <v>5</v>
      </c>
      <c r="H245">
        <v>35</v>
      </c>
      <c r="I245">
        <f t="shared" ref="I245" si="187">IF(H245&lt;&gt;"",H245-G245,"")</f>
        <v>30</v>
      </c>
      <c r="J245" t="s">
        <v>89</v>
      </c>
      <c r="K245" s="6">
        <v>46100</v>
      </c>
      <c r="L245" t="s">
        <v>91</v>
      </c>
      <c r="M245" t="s">
        <v>92</v>
      </c>
      <c r="N245" t="s">
        <v>94</v>
      </c>
    </row>
    <row r="246" spans="1:14" x14ac:dyDescent="0.25">
      <c r="A246" t="s">
        <v>291</v>
      </c>
      <c r="B246" t="s">
        <v>85</v>
      </c>
      <c r="C246" t="s">
        <v>16</v>
      </c>
      <c r="D246" s="8">
        <v>46097</v>
      </c>
      <c r="E246" s="2">
        <f t="shared" ref="E246:E266" si="188">IF(C246&lt;&gt;"",D246+VLOOKUP(C246,$T$2:$U$6,2,FALSE),"")</f>
        <v>46127</v>
      </c>
      <c r="F246">
        <f t="shared" ref="F246:F266" ca="1" si="189">IF(E246&lt;&gt;"",E246-TODAY(),"")</f>
        <v>20</v>
      </c>
      <c r="G246">
        <v>5</v>
      </c>
      <c r="H246">
        <v>35</v>
      </c>
      <c r="I246">
        <f t="shared" ref="I246:I266" si="190">IF(H246&lt;&gt;"",H246-G246,"")</f>
        <v>30</v>
      </c>
      <c r="J246" t="s">
        <v>89</v>
      </c>
      <c r="K246" s="6">
        <v>46100</v>
      </c>
      <c r="L246" t="s">
        <v>91</v>
      </c>
      <c r="M246" t="s">
        <v>92</v>
      </c>
      <c r="N246" t="s">
        <v>94</v>
      </c>
    </row>
    <row r="247" spans="1:14" x14ac:dyDescent="0.25">
      <c r="A247" t="s">
        <v>292</v>
      </c>
      <c r="B247" t="s">
        <v>85</v>
      </c>
      <c r="C247" t="s">
        <v>16</v>
      </c>
      <c r="D247" s="8">
        <v>46097</v>
      </c>
      <c r="E247" s="2">
        <f t="shared" si="188"/>
        <v>46127</v>
      </c>
      <c r="F247">
        <f t="shared" ca="1" si="189"/>
        <v>20</v>
      </c>
      <c r="G247">
        <v>5</v>
      </c>
      <c r="H247">
        <v>35</v>
      </c>
      <c r="I247">
        <f t="shared" si="190"/>
        <v>30</v>
      </c>
      <c r="J247" t="s">
        <v>89</v>
      </c>
      <c r="K247" s="6">
        <v>46100</v>
      </c>
      <c r="L247" t="s">
        <v>91</v>
      </c>
      <c r="M247" t="s">
        <v>92</v>
      </c>
      <c r="N247" t="s">
        <v>94</v>
      </c>
    </row>
    <row r="248" spans="1:14" x14ac:dyDescent="0.25">
      <c r="A248" s="3" t="s">
        <v>293</v>
      </c>
      <c r="B248" t="s">
        <v>85</v>
      </c>
      <c r="C248" t="s">
        <v>16</v>
      </c>
      <c r="D248" s="8">
        <v>46097</v>
      </c>
      <c r="E248" s="2">
        <f t="shared" si="188"/>
        <v>46127</v>
      </c>
      <c r="F248">
        <f t="shared" ca="1" si="189"/>
        <v>20</v>
      </c>
      <c r="G248">
        <v>5</v>
      </c>
      <c r="H248">
        <v>35</v>
      </c>
      <c r="I248">
        <f t="shared" si="190"/>
        <v>30</v>
      </c>
      <c r="J248" t="s">
        <v>89</v>
      </c>
      <c r="K248" s="6">
        <v>46100</v>
      </c>
      <c r="L248" t="s">
        <v>91</v>
      </c>
      <c r="M248" t="s">
        <v>92</v>
      </c>
      <c r="N248" t="s">
        <v>94</v>
      </c>
    </row>
    <row r="249" spans="1:14" x14ac:dyDescent="0.25">
      <c r="A249" t="s">
        <v>294</v>
      </c>
      <c r="B249" t="s">
        <v>85</v>
      </c>
      <c r="C249" t="s">
        <v>16</v>
      </c>
      <c r="D249" s="8">
        <v>46097</v>
      </c>
      <c r="E249" s="2">
        <f t="shared" si="188"/>
        <v>46127</v>
      </c>
      <c r="F249">
        <f t="shared" ca="1" si="189"/>
        <v>20</v>
      </c>
      <c r="G249">
        <v>5</v>
      </c>
      <c r="H249">
        <v>35</v>
      </c>
      <c r="I249">
        <f t="shared" si="190"/>
        <v>30</v>
      </c>
      <c r="J249" t="s">
        <v>89</v>
      </c>
      <c r="K249" s="6">
        <v>46100</v>
      </c>
      <c r="L249" t="s">
        <v>91</v>
      </c>
      <c r="M249" t="s">
        <v>92</v>
      </c>
      <c r="N249" t="s">
        <v>94</v>
      </c>
    </row>
    <row r="250" spans="1:14" x14ac:dyDescent="0.25">
      <c r="A250" s="3" t="s">
        <v>295</v>
      </c>
      <c r="B250" t="s">
        <v>85</v>
      </c>
      <c r="C250" t="s">
        <v>16</v>
      </c>
      <c r="D250" s="8">
        <v>46097</v>
      </c>
      <c r="E250" s="2">
        <f t="shared" si="188"/>
        <v>46127</v>
      </c>
      <c r="F250">
        <f t="shared" ca="1" si="189"/>
        <v>20</v>
      </c>
      <c r="G250">
        <v>5</v>
      </c>
      <c r="H250">
        <v>35</v>
      </c>
      <c r="I250">
        <f t="shared" si="190"/>
        <v>30</v>
      </c>
      <c r="J250" t="s">
        <v>89</v>
      </c>
      <c r="K250" s="6">
        <v>46100</v>
      </c>
      <c r="L250" t="s">
        <v>91</v>
      </c>
      <c r="M250" t="s">
        <v>92</v>
      </c>
      <c r="N250" t="s">
        <v>94</v>
      </c>
    </row>
    <row r="251" spans="1:14" x14ac:dyDescent="0.25">
      <c r="A251" s="3" t="s">
        <v>296</v>
      </c>
      <c r="B251" t="s">
        <v>85</v>
      </c>
      <c r="C251" t="s">
        <v>16</v>
      </c>
      <c r="D251" s="8">
        <v>46097</v>
      </c>
      <c r="E251" s="2">
        <f t="shared" si="188"/>
        <v>46127</v>
      </c>
      <c r="F251">
        <f t="shared" ca="1" si="189"/>
        <v>20</v>
      </c>
      <c r="G251">
        <v>5</v>
      </c>
      <c r="H251">
        <v>35</v>
      </c>
      <c r="I251">
        <f t="shared" si="190"/>
        <v>30</v>
      </c>
      <c r="J251" t="s">
        <v>89</v>
      </c>
      <c r="K251" s="6">
        <v>46100</v>
      </c>
      <c r="L251" t="s">
        <v>91</v>
      </c>
      <c r="M251" t="s">
        <v>92</v>
      </c>
      <c r="N251" t="s">
        <v>94</v>
      </c>
    </row>
    <row r="252" spans="1:14" x14ac:dyDescent="0.25">
      <c r="A252" s="3" t="s">
        <v>297</v>
      </c>
      <c r="B252" t="s">
        <v>85</v>
      </c>
      <c r="C252" t="s">
        <v>16</v>
      </c>
      <c r="D252" s="8">
        <v>46098</v>
      </c>
      <c r="E252" s="2">
        <f t="shared" si="188"/>
        <v>46128</v>
      </c>
      <c r="F252">
        <f t="shared" ca="1" si="189"/>
        <v>21</v>
      </c>
      <c r="G252">
        <v>5</v>
      </c>
      <c r="H252">
        <v>35</v>
      </c>
      <c r="I252">
        <f t="shared" si="190"/>
        <v>30</v>
      </c>
      <c r="J252" t="s">
        <v>89</v>
      </c>
      <c r="K252" s="6">
        <v>46100</v>
      </c>
      <c r="L252" t="s">
        <v>91</v>
      </c>
      <c r="M252" t="s">
        <v>92</v>
      </c>
      <c r="N252" t="s">
        <v>94</v>
      </c>
    </row>
    <row r="253" spans="1:14" x14ac:dyDescent="0.25">
      <c r="A253" s="13" t="s">
        <v>298</v>
      </c>
      <c r="B253" t="s">
        <v>85</v>
      </c>
      <c r="C253" t="s">
        <v>16</v>
      </c>
      <c r="D253" s="8">
        <v>46098</v>
      </c>
      <c r="E253" s="2">
        <f t="shared" si="188"/>
        <v>46128</v>
      </c>
      <c r="F253">
        <f t="shared" ca="1" si="189"/>
        <v>21</v>
      </c>
      <c r="G253">
        <v>5</v>
      </c>
      <c r="H253">
        <v>35</v>
      </c>
      <c r="I253">
        <f t="shared" si="190"/>
        <v>30</v>
      </c>
      <c r="J253" t="s">
        <v>90</v>
      </c>
      <c r="K253" s="6">
        <v>46100</v>
      </c>
      <c r="L253" t="s">
        <v>91</v>
      </c>
      <c r="M253" t="s">
        <v>92</v>
      </c>
      <c r="N253" t="s">
        <v>94</v>
      </c>
    </row>
    <row r="254" spans="1:14" x14ac:dyDescent="0.25">
      <c r="A254" t="s">
        <v>299</v>
      </c>
      <c r="B254" t="s">
        <v>85</v>
      </c>
      <c r="C254" t="s">
        <v>16</v>
      </c>
      <c r="D254" s="8">
        <v>46098</v>
      </c>
      <c r="E254" s="2">
        <f t="shared" si="188"/>
        <v>46128</v>
      </c>
      <c r="F254">
        <f t="shared" ca="1" si="189"/>
        <v>21</v>
      </c>
      <c r="G254">
        <v>5</v>
      </c>
      <c r="H254">
        <v>35</v>
      </c>
      <c r="I254">
        <f t="shared" si="190"/>
        <v>30</v>
      </c>
      <c r="J254" t="s">
        <v>90</v>
      </c>
      <c r="K254" s="6">
        <v>46100</v>
      </c>
      <c r="L254" t="s">
        <v>91</v>
      </c>
      <c r="M254" t="s">
        <v>92</v>
      </c>
      <c r="N254" t="s">
        <v>94</v>
      </c>
    </row>
    <row r="255" spans="1:14" x14ac:dyDescent="0.25">
      <c r="A255" t="s">
        <v>300</v>
      </c>
      <c r="B255" t="s">
        <v>85</v>
      </c>
      <c r="C255" t="s">
        <v>16</v>
      </c>
      <c r="D255" s="8">
        <v>46098</v>
      </c>
      <c r="E255" s="2">
        <f t="shared" si="188"/>
        <v>46128</v>
      </c>
      <c r="F255">
        <f t="shared" ca="1" si="189"/>
        <v>21</v>
      </c>
      <c r="G255">
        <v>5</v>
      </c>
      <c r="H255">
        <v>35</v>
      </c>
      <c r="I255">
        <f t="shared" si="190"/>
        <v>30</v>
      </c>
      <c r="J255" t="s">
        <v>90</v>
      </c>
      <c r="K255" s="6">
        <v>46100</v>
      </c>
      <c r="L255" t="s">
        <v>91</v>
      </c>
      <c r="M255" t="s">
        <v>92</v>
      </c>
      <c r="N255" t="s">
        <v>94</v>
      </c>
    </row>
    <row r="256" spans="1:14" x14ac:dyDescent="0.25">
      <c r="A256" s="3" t="s">
        <v>301</v>
      </c>
      <c r="B256" t="s">
        <v>85</v>
      </c>
      <c r="C256" t="s">
        <v>16</v>
      </c>
      <c r="D256" s="8">
        <v>46098</v>
      </c>
      <c r="E256" s="2">
        <f t="shared" si="188"/>
        <v>46128</v>
      </c>
      <c r="F256">
        <f t="shared" ca="1" si="189"/>
        <v>21</v>
      </c>
      <c r="G256">
        <v>5</v>
      </c>
      <c r="H256">
        <v>35</v>
      </c>
      <c r="I256">
        <f t="shared" si="190"/>
        <v>30</v>
      </c>
      <c r="J256" t="s">
        <v>89</v>
      </c>
      <c r="K256" s="6">
        <v>46100</v>
      </c>
      <c r="L256" t="s">
        <v>91</v>
      </c>
      <c r="M256" t="s">
        <v>92</v>
      </c>
      <c r="N256" t="s">
        <v>94</v>
      </c>
    </row>
    <row r="257" spans="1:14" x14ac:dyDescent="0.25">
      <c r="A257" s="3" t="s">
        <v>302</v>
      </c>
      <c r="B257" t="s">
        <v>85</v>
      </c>
      <c r="C257" t="s">
        <v>16</v>
      </c>
      <c r="D257" s="8">
        <v>46100</v>
      </c>
      <c r="E257" s="2">
        <f t="shared" si="188"/>
        <v>46130</v>
      </c>
      <c r="F257">
        <f t="shared" ca="1" si="189"/>
        <v>23</v>
      </c>
      <c r="G257">
        <v>5</v>
      </c>
      <c r="H257">
        <v>35</v>
      </c>
      <c r="I257">
        <f t="shared" si="190"/>
        <v>30</v>
      </c>
      <c r="J257" t="s">
        <v>89</v>
      </c>
      <c r="K257" s="6">
        <v>46100</v>
      </c>
      <c r="L257" t="s">
        <v>91</v>
      </c>
      <c r="M257" t="s">
        <v>92</v>
      </c>
      <c r="N257" t="s">
        <v>94</v>
      </c>
    </row>
    <row r="258" spans="1:14" x14ac:dyDescent="0.25">
      <c r="A258" s="3" t="s">
        <v>303</v>
      </c>
      <c r="B258" t="s">
        <v>85</v>
      </c>
      <c r="C258" t="s">
        <v>16</v>
      </c>
      <c r="D258" s="8">
        <v>46100</v>
      </c>
      <c r="E258" s="2">
        <f t="shared" si="188"/>
        <v>46130</v>
      </c>
      <c r="F258">
        <f t="shared" ca="1" si="189"/>
        <v>23</v>
      </c>
      <c r="G258">
        <v>5</v>
      </c>
      <c r="H258">
        <v>35</v>
      </c>
      <c r="I258">
        <f t="shared" si="190"/>
        <v>30</v>
      </c>
      <c r="J258" t="s">
        <v>89</v>
      </c>
      <c r="K258" s="6">
        <v>46100</v>
      </c>
      <c r="L258" t="s">
        <v>91</v>
      </c>
      <c r="M258" t="s">
        <v>92</v>
      </c>
      <c r="N258" t="s">
        <v>94</v>
      </c>
    </row>
    <row r="259" spans="1:14" x14ac:dyDescent="0.25">
      <c r="A259" t="s">
        <v>304</v>
      </c>
      <c r="B259" t="s">
        <v>85</v>
      </c>
      <c r="C259" t="s">
        <v>16</v>
      </c>
      <c r="D259" s="8">
        <v>46100</v>
      </c>
      <c r="E259" s="2">
        <f t="shared" si="188"/>
        <v>46130</v>
      </c>
      <c r="F259">
        <f t="shared" ca="1" si="189"/>
        <v>23</v>
      </c>
      <c r="G259">
        <v>5</v>
      </c>
      <c r="H259">
        <v>35</v>
      </c>
      <c r="I259">
        <f t="shared" si="190"/>
        <v>30</v>
      </c>
      <c r="J259" t="s">
        <v>89</v>
      </c>
      <c r="K259" s="6">
        <v>46100</v>
      </c>
      <c r="L259" t="s">
        <v>91</v>
      </c>
      <c r="M259" t="s">
        <v>92</v>
      </c>
      <c r="N259" t="s">
        <v>94</v>
      </c>
    </row>
    <row r="260" spans="1:14" x14ac:dyDescent="0.25">
      <c r="A260" t="s">
        <v>305</v>
      </c>
      <c r="B260" t="s">
        <v>85</v>
      </c>
      <c r="C260" t="s">
        <v>16</v>
      </c>
      <c r="D260" s="8">
        <v>46100</v>
      </c>
      <c r="E260" s="2">
        <f t="shared" si="188"/>
        <v>46130</v>
      </c>
      <c r="F260">
        <f t="shared" ca="1" si="189"/>
        <v>23</v>
      </c>
      <c r="G260">
        <v>5</v>
      </c>
      <c r="H260">
        <v>35</v>
      </c>
      <c r="I260">
        <f t="shared" si="190"/>
        <v>30</v>
      </c>
      <c r="J260" t="s">
        <v>89</v>
      </c>
      <c r="K260" s="6">
        <v>46100</v>
      </c>
      <c r="L260" t="s">
        <v>91</v>
      </c>
      <c r="M260" t="s">
        <v>92</v>
      </c>
      <c r="N260" t="s">
        <v>94</v>
      </c>
    </row>
    <row r="261" spans="1:14" x14ac:dyDescent="0.25">
      <c r="A261" t="s">
        <v>306</v>
      </c>
      <c r="B261" t="s">
        <v>85</v>
      </c>
      <c r="C261" t="s">
        <v>16</v>
      </c>
      <c r="D261" s="8">
        <v>46100</v>
      </c>
      <c r="E261" s="2">
        <f t="shared" si="188"/>
        <v>46130</v>
      </c>
      <c r="F261">
        <f t="shared" ca="1" si="189"/>
        <v>23</v>
      </c>
      <c r="G261">
        <v>5</v>
      </c>
      <c r="H261">
        <v>35</v>
      </c>
      <c r="I261">
        <f t="shared" si="190"/>
        <v>30</v>
      </c>
      <c r="J261" t="s">
        <v>89</v>
      </c>
      <c r="K261" s="6">
        <v>46100</v>
      </c>
      <c r="L261" t="s">
        <v>91</v>
      </c>
      <c r="M261" t="s">
        <v>92</v>
      </c>
      <c r="N261" t="s">
        <v>94</v>
      </c>
    </row>
    <row r="262" spans="1:14" x14ac:dyDescent="0.25">
      <c r="A262" t="s">
        <v>307</v>
      </c>
      <c r="B262" t="s">
        <v>85</v>
      </c>
      <c r="C262" t="s">
        <v>16</v>
      </c>
      <c r="D262" s="8">
        <v>46100</v>
      </c>
      <c r="E262" s="2">
        <f t="shared" si="188"/>
        <v>46130</v>
      </c>
      <c r="F262">
        <f t="shared" ca="1" si="189"/>
        <v>23</v>
      </c>
      <c r="G262">
        <v>5</v>
      </c>
      <c r="H262">
        <v>35</v>
      </c>
      <c r="I262">
        <f t="shared" si="190"/>
        <v>30</v>
      </c>
      <c r="J262" t="s">
        <v>89</v>
      </c>
      <c r="K262" s="6">
        <v>46100</v>
      </c>
      <c r="L262" t="s">
        <v>91</v>
      </c>
      <c r="M262" t="s">
        <v>92</v>
      </c>
      <c r="N262" t="s">
        <v>94</v>
      </c>
    </row>
    <row r="263" spans="1:14" x14ac:dyDescent="0.25">
      <c r="A263" t="s">
        <v>308</v>
      </c>
      <c r="B263" t="s">
        <v>85</v>
      </c>
      <c r="C263" t="s">
        <v>16</v>
      </c>
      <c r="D263" s="8">
        <v>46100</v>
      </c>
      <c r="E263" s="2">
        <f t="shared" si="188"/>
        <v>46130</v>
      </c>
      <c r="F263">
        <f t="shared" ca="1" si="189"/>
        <v>23</v>
      </c>
      <c r="G263">
        <v>5</v>
      </c>
      <c r="H263">
        <v>35</v>
      </c>
      <c r="I263">
        <f t="shared" si="190"/>
        <v>30</v>
      </c>
      <c r="J263" t="s">
        <v>89</v>
      </c>
      <c r="K263" s="6">
        <v>46100</v>
      </c>
      <c r="L263" t="s">
        <v>91</v>
      </c>
      <c r="M263" t="s">
        <v>92</v>
      </c>
      <c r="N263" t="s">
        <v>94</v>
      </c>
    </row>
    <row r="264" spans="1:14" x14ac:dyDescent="0.25">
      <c r="A264" t="s">
        <v>311</v>
      </c>
      <c r="B264" t="s">
        <v>85</v>
      </c>
      <c r="C264" t="s">
        <v>16</v>
      </c>
      <c r="D264" s="8">
        <v>46100</v>
      </c>
      <c r="E264" s="2">
        <f t="shared" si="188"/>
        <v>46130</v>
      </c>
      <c r="F264">
        <f t="shared" ca="1" si="189"/>
        <v>23</v>
      </c>
      <c r="G264">
        <v>5</v>
      </c>
      <c r="H264">
        <v>35</v>
      </c>
      <c r="I264">
        <f t="shared" si="190"/>
        <v>30</v>
      </c>
      <c r="J264" t="s">
        <v>89</v>
      </c>
      <c r="K264" s="6">
        <v>46100</v>
      </c>
      <c r="L264" t="s">
        <v>91</v>
      </c>
      <c r="M264" t="s">
        <v>92</v>
      </c>
      <c r="N264" t="s">
        <v>94</v>
      </c>
    </row>
    <row r="265" spans="1:14" x14ac:dyDescent="0.25">
      <c r="A265" s="3" t="s">
        <v>312</v>
      </c>
      <c r="B265" t="s">
        <v>85</v>
      </c>
      <c r="C265" t="s">
        <v>16</v>
      </c>
      <c r="D265" s="8">
        <v>46100</v>
      </c>
      <c r="E265" s="2">
        <f t="shared" si="188"/>
        <v>46130</v>
      </c>
      <c r="F265">
        <f t="shared" ca="1" si="189"/>
        <v>23</v>
      </c>
      <c r="G265">
        <v>5</v>
      </c>
      <c r="H265">
        <v>35</v>
      </c>
      <c r="I265">
        <f t="shared" si="190"/>
        <v>30</v>
      </c>
      <c r="J265" t="s">
        <v>89</v>
      </c>
      <c r="K265" s="6">
        <v>46100</v>
      </c>
      <c r="L265" t="s">
        <v>91</v>
      </c>
      <c r="M265" t="s">
        <v>92</v>
      </c>
      <c r="N265" t="s">
        <v>94</v>
      </c>
    </row>
    <row r="266" spans="1:14" x14ac:dyDescent="0.25">
      <c r="A266" t="s">
        <v>313</v>
      </c>
      <c r="B266" t="s">
        <v>85</v>
      </c>
      <c r="C266" t="s">
        <v>16</v>
      </c>
      <c r="D266" s="8">
        <v>46100</v>
      </c>
      <c r="E266" s="2">
        <f t="shared" si="188"/>
        <v>46130</v>
      </c>
      <c r="F266">
        <f t="shared" ca="1" si="189"/>
        <v>23</v>
      </c>
      <c r="G266">
        <v>5</v>
      </c>
      <c r="H266">
        <v>35</v>
      </c>
      <c r="I266">
        <f t="shared" si="190"/>
        <v>30</v>
      </c>
      <c r="J266" t="s">
        <v>89</v>
      </c>
      <c r="K266" s="6">
        <v>46100</v>
      </c>
      <c r="L266" t="s">
        <v>91</v>
      </c>
      <c r="M266" t="s">
        <v>92</v>
      </c>
      <c r="N266" t="s">
        <v>94</v>
      </c>
    </row>
    <row r="267" spans="1:14" x14ac:dyDescent="0.25">
      <c r="A267" t="s">
        <v>314</v>
      </c>
      <c r="B267" t="s">
        <v>85</v>
      </c>
      <c r="C267" t="s">
        <v>16</v>
      </c>
      <c r="D267" s="8">
        <v>46100</v>
      </c>
      <c r="E267" s="2">
        <f t="shared" ref="E267" si="191">IF(C267&lt;&gt;"",D267+VLOOKUP(C267,$T$2:$U$6,2,FALSE),"")</f>
        <v>46130</v>
      </c>
      <c r="F267">
        <f t="shared" ref="F267" ca="1" si="192">IF(E267&lt;&gt;"",E267-TODAY(),"")</f>
        <v>23</v>
      </c>
      <c r="G267">
        <v>5</v>
      </c>
      <c r="H267">
        <v>35</v>
      </c>
      <c r="I267">
        <f t="shared" ref="I267" si="193">IF(H267&lt;&gt;"",H267-G267,"")</f>
        <v>30</v>
      </c>
      <c r="J267" t="s">
        <v>89</v>
      </c>
      <c r="K267" s="6">
        <v>46100</v>
      </c>
      <c r="L267" t="s">
        <v>91</v>
      </c>
      <c r="M267" t="s">
        <v>92</v>
      </c>
      <c r="N267" t="s">
        <v>94</v>
      </c>
    </row>
    <row r="268" spans="1:14" x14ac:dyDescent="0.25">
      <c r="A268" t="s">
        <v>316</v>
      </c>
      <c r="B268" t="s">
        <v>85</v>
      </c>
      <c r="C268" t="s">
        <v>16</v>
      </c>
      <c r="D268" s="8">
        <v>46100</v>
      </c>
      <c r="E268" s="2">
        <f t="shared" ref="E268" si="194">IF(C268&lt;&gt;"",D268+VLOOKUP(C268,$T$2:$U$6,2,FALSE),"")</f>
        <v>46130</v>
      </c>
      <c r="F268">
        <f t="shared" ref="F268" ca="1" si="195">IF(E268&lt;&gt;"",E268-TODAY(),"")</f>
        <v>23</v>
      </c>
      <c r="G268">
        <v>5</v>
      </c>
      <c r="H268">
        <v>35</v>
      </c>
      <c r="I268">
        <f t="shared" ref="I268" si="196">IF(H268&lt;&gt;"",H268-G268,"")</f>
        <v>30</v>
      </c>
      <c r="J268" t="s">
        <v>89</v>
      </c>
      <c r="K268" s="6">
        <v>46100</v>
      </c>
      <c r="L268" t="s">
        <v>91</v>
      </c>
      <c r="M268" t="s">
        <v>92</v>
      </c>
      <c r="N268" t="s">
        <v>94</v>
      </c>
    </row>
    <row r="269" spans="1:14" x14ac:dyDescent="0.25">
      <c r="A269" s="3" t="s">
        <v>317</v>
      </c>
      <c r="B269" t="s">
        <v>85</v>
      </c>
      <c r="C269" t="s">
        <v>16</v>
      </c>
      <c r="D269" s="8">
        <v>46100</v>
      </c>
      <c r="E269" s="2">
        <f t="shared" ref="E269" si="197">IF(C269&lt;&gt;"",D269+VLOOKUP(C269,$T$2:$U$6,2,FALSE),"")</f>
        <v>46130</v>
      </c>
      <c r="F269">
        <f t="shared" ref="F269" ca="1" si="198">IF(E269&lt;&gt;"",E269-TODAY(),"")</f>
        <v>23</v>
      </c>
      <c r="G269">
        <v>5</v>
      </c>
      <c r="H269">
        <v>35</v>
      </c>
      <c r="I269">
        <f t="shared" ref="I269" si="199">IF(H269&lt;&gt;"",H269-G269,"")</f>
        <v>30</v>
      </c>
      <c r="J269" t="s">
        <v>89</v>
      </c>
      <c r="K269" s="6">
        <v>46100</v>
      </c>
      <c r="L269" t="s">
        <v>91</v>
      </c>
      <c r="M269" t="s">
        <v>92</v>
      </c>
      <c r="N269" t="s">
        <v>94</v>
      </c>
    </row>
    <row r="270" spans="1:14" x14ac:dyDescent="0.25">
      <c r="A270" s="3" t="s">
        <v>318</v>
      </c>
      <c r="B270" t="s">
        <v>85</v>
      </c>
      <c r="C270" t="s">
        <v>16</v>
      </c>
      <c r="D270" s="8">
        <v>46100</v>
      </c>
      <c r="E270" s="2">
        <f t="shared" ref="E270" si="200">IF(C270&lt;&gt;"",D270+VLOOKUP(C270,$T$2:$U$6,2,FALSE),"")</f>
        <v>46130</v>
      </c>
      <c r="F270">
        <f t="shared" ref="F270" ca="1" si="201">IF(E270&lt;&gt;"",E270-TODAY(),"")</f>
        <v>23</v>
      </c>
      <c r="G270">
        <v>5</v>
      </c>
      <c r="H270">
        <v>35</v>
      </c>
      <c r="I270">
        <f t="shared" ref="I270" si="202">IF(H270&lt;&gt;"",H270-G270,"")</f>
        <v>30</v>
      </c>
      <c r="J270" t="s">
        <v>89</v>
      </c>
      <c r="K270" s="6">
        <v>46100</v>
      </c>
      <c r="L270" t="s">
        <v>91</v>
      </c>
      <c r="M270" t="s">
        <v>92</v>
      </c>
      <c r="N270" t="s">
        <v>94</v>
      </c>
    </row>
    <row r="271" spans="1:14" x14ac:dyDescent="0.25">
      <c r="A271" s="3" t="s">
        <v>319</v>
      </c>
      <c r="B271" t="s">
        <v>85</v>
      </c>
      <c r="C271" t="s">
        <v>16</v>
      </c>
      <c r="D271" s="8">
        <v>46100</v>
      </c>
      <c r="E271" s="2">
        <f t="shared" ref="E271" si="203">IF(C271&lt;&gt;"",D271+VLOOKUP(C271,$T$2:$U$6,2,FALSE),"")</f>
        <v>46130</v>
      </c>
      <c r="F271">
        <f t="shared" ref="F271" ca="1" si="204">IF(E271&lt;&gt;"",E271-TODAY(),"")</f>
        <v>23</v>
      </c>
      <c r="G271">
        <v>5</v>
      </c>
      <c r="H271">
        <v>35</v>
      </c>
      <c r="I271">
        <f t="shared" ref="I271" si="205">IF(H271&lt;&gt;"",H271-G271,"")</f>
        <v>30</v>
      </c>
      <c r="J271" t="s">
        <v>89</v>
      </c>
      <c r="K271" s="6">
        <v>46100</v>
      </c>
      <c r="L271" t="s">
        <v>91</v>
      </c>
      <c r="M271" t="s">
        <v>92</v>
      </c>
      <c r="N271" t="s">
        <v>94</v>
      </c>
    </row>
    <row r="272" spans="1:14" x14ac:dyDescent="0.25">
      <c r="A272" t="s">
        <v>320</v>
      </c>
      <c r="B272" t="s">
        <v>321</v>
      </c>
      <c r="C272" s="6" t="s">
        <v>20</v>
      </c>
      <c r="D272" s="6">
        <v>45945</v>
      </c>
      <c r="E272" s="2">
        <f t="shared" ref="E267:E321" si="206">IF(C272&lt;&gt;"",D272+VLOOKUP(C272,$T$2:$U$6,2,FALSE),"")</f>
        <v>46310</v>
      </c>
      <c r="F272">
        <f t="shared" ref="F267:F321" ca="1" si="207">IF(E272&lt;&gt;"",E272-TODAY(),"")</f>
        <v>203</v>
      </c>
      <c r="G272">
        <v>150</v>
      </c>
      <c r="H272">
        <v>210</v>
      </c>
      <c r="I272">
        <f t="shared" ref="I267:I321" si="208">IF(H272&lt;&gt;"",H272-G272,"")</f>
        <v>60</v>
      </c>
      <c r="J272" t="s">
        <v>89</v>
      </c>
      <c r="K272" s="6">
        <v>46107</v>
      </c>
      <c r="L272" t="s">
        <v>91</v>
      </c>
      <c r="M272" t="s">
        <v>92</v>
      </c>
      <c r="N272" t="s">
        <v>94</v>
      </c>
    </row>
    <row r="273" spans="1:14" x14ac:dyDescent="0.25">
      <c r="A273" t="s">
        <v>322</v>
      </c>
      <c r="B273" t="s">
        <v>85</v>
      </c>
      <c r="C273" t="s">
        <v>16</v>
      </c>
      <c r="D273" s="8">
        <v>46100</v>
      </c>
      <c r="E273" s="2">
        <f t="shared" si="206"/>
        <v>46130</v>
      </c>
      <c r="F273">
        <f t="shared" ca="1" si="207"/>
        <v>23</v>
      </c>
      <c r="G273">
        <v>5</v>
      </c>
      <c r="H273">
        <v>35</v>
      </c>
      <c r="I273">
        <f t="shared" si="208"/>
        <v>30</v>
      </c>
      <c r="J273" t="s">
        <v>90</v>
      </c>
      <c r="K273" s="6">
        <v>46100</v>
      </c>
      <c r="L273" t="s">
        <v>91</v>
      </c>
      <c r="M273" t="s">
        <v>92</v>
      </c>
      <c r="N273" t="s">
        <v>94</v>
      </c>
    </row>
    <row r="274" spans="1:14" x14ac:dyDescent="0.25">
      <c r="A274" t="s">
        <v>323</v>
      </c>
      <c r="B274" t="s">
        <v>85</v>
      </c>
      <c r="C274" t="s">
        <v>16</v>
      </c>
      <c r="D274" s="8">
        <v>46100</v>
      </c>
      <c r="E274" s="2">
        <f t="shared" si="206"/>
        <v>46130</v>
      </c>
      <c r="F274">
        <f t="shared" ca="1" si="207"/>
        <v>23</v>
      </c>
      <c r="G274">
        <v>5</v>
      </c>
      <c r="H274">
        <v>35</v>
      </c>
      <c r="I274">
        <f t="shared" si="208"/>
        <v>30</v>
      </c>
      <c r="J274" t="s">
        <v>89</v>
      </c>
      <c r="K274" s="6">
        <v>46100</v>
      </c>
      <c r="L274" t="s">
        <v>91</v>
      </c>
      <c r="M274" t="s">
        <v>92</v>
      </c>
      <c r="N274" t="s">
        <v>94</v>
      </c>
    </row>
    <row r="275" spans="1:14" x14ac:dyDescent="0.25">
      <c r="A275" t="s">
        <v>324</v>
      </c>
      <c r="B275" t="s">
        <v>85</v>
      </c>
      <c r="C275" t="s">
        <v>16</v>
      </c>
      <c r="D275" s="8">
        <v>46101</v>
      </c>
      <c r="E275" s="2">
        <f t="shared" ref="E275" si="209">IF(C275&lt;&gt;"",D275+VLOOKUP(C275,$T$2:$U$6,2,FALSE),"")</f>
        <v>46131</v>
      </c>
      <c r="F275">
        <f t="shared" ref="F275" ca="1" si="210">IF(E275&lt;&gt;"",E275-TODAY(),"")</f>
        <v>24</v>
      </c>
      <c r="G275">
        <v>5</v>
      </c>
      <c r="H275">
        <v>35</v>
      </c>
      <c r="I275">
        <f t="shared" ref="I275" si="211">IF(H275&lt;&gt;"",H275-G275,"")</f>
        <v>30</v>
      </c>
      <c r="J275" t="s">
        <v>89</v>
      </c>
      <c r="K275" s="6">
        <v>46100</v>
      </c>
      <c r="L275" t="s">
        <v>91</v>
      </c>
      <c r="M275" t="s">
        <v>92</v>
      </c>
      <c r="N275" t="s">
        <v>94</v>
      </c>
    </row>
    <row r="276" spans="1:14" x14ac:dyDescent="0.25">
      <c r="A276" s="3" t="s">
        <v>325</v>
      </c>
      <c r="B276" t="s">
        <v>85</v>
      </c>
      <c r="C276" t="s">
        <v>16</v>
      </c>
      <c r="D276" s="8">
        <v>46103</v>
      </c>
      <c r="E276" s="2">
        <f t="shared" ref="E276" si="212">IF(C276&lt;&gt;"",D276+VLOOKUP(C276,$T$2:$U$6,2,FALSE),"")</f>
        <v>46133</v>
      </c>
      <c r="F276">
        <f t="shared" ref="F276" ca="1" si="213">IF(E276&lt;&gt;"",E276-TODAY(),"")</f>
        <v>26</v>
      </c>
      <c r="G276">
        <v>5</v>
      </c>
      <c r="H276">
        <v>35</v>
      </c>
      <c r="I276">
        <f t="shared" ref="I276" si="214">IF(H276&lt;&gt;"",H276-G276,"")</f>
        <v>30</v>
      </c>
      <c r="J276" t="s">
        <v>89</v>
      </c>
      <c r="K276" s="6">
        <v>46100</v>
      </c>
      <c r="L276" t="s">
        <v>91</v>
      </c>
      <c r="M276" t="s">
        <v>92</v>
      </c>
      <c r="N276" t="s">
        <v>94</v>
      </c>
    </row>
    <row r="277" spans="1:14" x14ac:dyDescent="0.25">
      <c r="A277" s="3" t="s">
        <v>326</v>
      </c>
      <c r="B277" t="s">
        <v>85</v>
      </c>
      <c r="C277" t="s">
        <v>16</v>
      </c>
      <c r="D277" s="8">
        <v>46103</v>
      </c>
      <c r="E277" s="2">
        <f t="shared" ref="E277:E286" si="215">IF(C277&lt;&gt;"",D277+VLOOKUP(C277,$T$2:$U$6,2,FALSE),"")</f>
        <v>46133</v>
      </c>
      <c r="F277">
        <f t="shared" ref="F277:F286" ca="1" si="216">IF(E277&lt;&gt;"",E277-TODAY(),"")</f>
        <v>26</v>
      </c>
      <c r="G277">
        <v>5</v>
      </c>
      <c r="H277">
        <v>35</v>
      </c>
      <c r="I277">
        <f t="shared" ref="I277:I286" si="217">IF(H277&lt;&gt;"",H277-G277,"")</f>
        <v>30</v>
      </c>
      <c r="J277" t="s">
        <v>90</v>
      </c>
      <c r="K277" s="6">
        <v>46100</v>
      </c>
      <c r="L277" t="s">
        <v>91</v>
      </c>
      <c r="M277" t="s">
        <v>92</v>
      </c>
      <c r="N277" t="s">
        <v>94</v>
      </c>
    </row>
    <row r="278" spans="1:14" x14ac:dyDescent="0.25">
      <c r="A278" s="3" t="s">
        <v>327</v>
      </c>
      <c r="B278" t="s">
        <v>86</v>
      </c>
      <c r="C278" t="s">
        <v>20</v>
      </c>
      <c r="D278" s="8">
        <v>46103</v>
      </c>
      <c r="E278" s="2">
        <f t="shared" si="215"/>
        <v>46468</v>
      </c>
      <c r="F278">
        <f t="shared" ca="1" si="216"/>
        <v>361</v>
      </c>
      <c r="G278">
        <v>5</v>
      </c>
      <c r="H278">
        <v>60</v>
      </c>
      <c r="I278">
        <f t="shared" si="217"/>
        <v>55</v>
      </c>
      <c r="J278" t="s">
        <v>89</v>
      </c>
      <c r="K278" s="6">
        <v>46100</v>
      </c>
      <c r="L278" t="s">
        <v>91</v>
      </c>
      <c r="M278" t="s">
        <v>92</v>
      </c>
      <c r="N278" t="s">
        <v>94</v>
      </c>
    </row>
    <row r="279" spans="1:14" x14ac:dyDescent="0.25">
      <c r="A279" t="s">
        <v>347</v>
      </c>
      <c r="D279" s="8"/>
      <c r="E279" s="2"/>
      <c r="K279" s="6"/>
    </row>
    <row r="280" spans="1:14" x14ac:dyDescent="0.25">
      <c r="A280" t="s">
        <v>328</v>
      </c>
      <c r="B280" t="s">
        <v>85</v>
      </c>
      <c r="C280" t="s">
        <v>16</v>
      </c>
      <c r="D280" s="8">
        <v>46103</v>
      </c>
      <c r="E280" s="2">
        <f t="shared" si="215"/>
        <v>46133</v>
      </c>
      <c r="F280">
        <f t="shared" ca="1" si="216"/>
        <v>26</v>
      </c>
      <c r="G280">
        <v>5</v>
      </c>
      <c r="H280">
        <v>35</v>
      </c>
      <c r="I280">
        <f t="shared" si="217"/>
        <v>30</v>
      </c>
      <c r="J280" t="s">
        <v>89</v>
      </c>
      <c r="K280" s="6">
        <v>46100</v>
      </c>
      <c r="L280" t="s">
        <v>91</v>
      </c>
      <c r="M280" t="s">
        <v>92</v>
      </c>
      <c r="N280" t="s">
        <v>94</v>
      </c>
    </row>
    <row r="281" spans="1:14" x14ac:dyDescent="0.25">
      <c r="A281" t="s">
        <v>329</v>
      </c>
      <c r="B281" t="s">
        <v>85</v>
      </c>
      <c r="C281" t="s">
        <v>16</v>
      </c>
      <c r="D281" s="8">
        <v>46103</v>
      </c>
      <c r="E281" s="2">
        <f t="shared" si="215"/>
        <v>46133</v>
      </c>
      <c r="F281">
        <f t="shared" ca="1" si="216"/>
        <v>26</v>
      </c>
      <c r="G281">
        <v>5</v>
      </c>
      <c r="H281">
        <v>35</v>
      </c>
      <c r="I281">
        <f t="shared" si="217"/>
        <v>30</v>
      </c>
      <c r="J281" t="s">
        <v>89</v>
      </c>
      <c r="K281" s="6">
        <v>46100</v>
      </c>
      <c r="L281" t="s">
        <v>91</v>
      </c>
      <c r="M281" t="s">
        <v>92</v>
      </c>
      <c r="N281" t="s">
        <v>94</v>
      </c>
    </row>
    <row r="282" spans="1:14" x14ac:dyDescent="0.25">
      <c r="A282" s="3" t="s">
        <v>330</v>
      </c>
      <c r="B282" t="s">
        <v>346</v>
      </c>
      <c r="C282" t="s">
        <v>16</v>
      </c>
      <c r="D282" s="8">
        <v>46103</v>
      </c>
      <c r="E282" s="2">
        <f t="shared" si="215"/>
        <v>46133</v>
      </c>
      <c r="F282">
        <f t="shared" ca="1" si="216"/>
        <v>26</v>
      </c>
      <c r="G282">
        <v>5</v>
      </c>
      <c r="H282">
        <v>25</v>
      </c>
      <c r="I282">
        <f t="shared" si="217"/>
        <v>20</v>
      </c>
      <c r="J282" t="s">
        <v>89</v>
      </c>
      <c r="K282" s="6">
        <v>46100</v>
      </c>
      <c r="L282" t="s">
        <v>91</v>
      </c>
      <c r="M282" t="s">
        <v>92</v>
      </c>
      <c r="N282" t="s">
        <v>94</v>
      </c>
    </row>
    <row r="283" spans="1:14" x14ac:dyDescent="0.25">
      <c r="A283" t="s">
        <v>331</v>
      </c>
      <c r="B283" t="s">
        <v>85</v>
      </c>
      <c r="C283" t="s">
        <v>16</v>
      </c>
      <c r="D283" s="8">
        <v>46103</v>
      </c>
      <c r="E283" s="2">
        <f t="shared" si="215"/>
        <v>46133</v>
      </c>
      <c r="F283">
        <f t="shared" ca="1" si="216"/>
        <v>26</v>
      </c>
      <c r="G283">
        <v>5</v>
      </c>
      <c r="H283">
        <v>35</v>
      </c>
      <c r="I283">
        <f t="shared" si="217"/>
        <v>30</v>
      </c>
      <c r="J283" t="s">
        <v>89</v>
      </c>
      <c r="K283" s="6">
        <v>46100</v>
      </c>
      <c r="L283" t="s">
        <v>91</v>
      </c>
      <c r="M283" t="s">
        <v>92</v>
      </c>
      <c r="N283" t="s">
        <v>94</v>
      </c>
    </row>
    <row r="284" spans="1:14" x14ac:dyDescent="0.25">
      <c r="A284" s="3" t="s">
        <v>332</v>
      </c>
      <c r="B284" t="s">
        <v>85</v>
      </c>
      <c r="C284" t="s">
        <v>16</v>
      </c>
      <c r="D284" s="8">
        <v>46103</v>
      </c>
      <c r="E284" s="2">
        <f t="shared" si="215"/>
        <v>46133</v>
      </c>
      <c r="F284">
        <f t="shared" ca="1" si="216"/>
        <v>26</v>
      </c>
      <c r="G284">
        <v>5</v>
      </c>
      <c r="H284">
        <v>35</v>
      </c>
      <c r="I284">
        <f t="shared" si="217"/>
        <v>30</v>
      </c>
      <c r="J284" t="s">
        <v>89</v>
      </c>
      <c r="K284" s="6">
        <v>46100</v>
      </c>
      <c r="L284" t="s">
        <v>91</v>
      </c>
      <c r="M284" t="s">
        <v>92</v>
      </c>
      <c r="N284" t="s">
        <v>94</v>
      </c>
    </row>
    <row r="285" spans="1:14" x14ac:dyDescent="0.25">
      <c r="A285" s="3" t="s">
        <v>333</v>
      </c>
      <c r="B285" t="s">
        <v>85</v>
      </c>
      <c r="C285" t="s">
        <v>16</v>
      </c>
      <c r="D285" s="8">
        <v>46103</v>
      </c>
      <c r="E285" s="2">
        <f t="shared" si="215"/>
        <v>46133</v>
      </c>
      <c r="F285">
        <f t="shared" ca="1" si="216"/>
        <v>26</v>
      </c>
      <c r="G285">
        <v>5</v>
      </c>
      <c r="H285">
        <v>35</v>
      </c>
      <c r="I285">
        <f t="shared" si="217"/>
        <v>30</v>
      </c>
      <c r="J285" t="s">
        <v>89</v>
      </c>
      <c r="K285" s="6">
        <v>46100</v>
      </c>
      <c r="L285" t="s">
        <v>91</v>
      </c>
      <c r="M285" t="s">
        <v>92</v>
      </c>
      <c r="N285" t="s">
        <v>94</v>
      </c>
    </row>
    <row r="286" spans="1:14" x14ac:dyDescent="0.25">
      <c r="A286" s="3" t="s">
        <v>334</v>
      </c>
      <c r="B286" t="s">
        <v>321</v>
      </c>
      <c r="C286" t="s">
        <v>20</v>
      </c>
      <c r="D286" s="8">
        <v>45958</v>
      </c>
      <c r="E286" s="2">
        <f t="shared" si="215"/>
        <v>46323</v>
      </c>
      <c r="F286">
        <f t="shared" ca="1" si="216"/>
        <v>216</v>
      </c>
      <c r="G286">
        <v>5</v>
      </c>
      <c r="H286">
        <v>35</v>
      </c>
      <c r="I286">
        <f t="shared" si="217"/>
        <v>30</v>
      </c>
      <c r="J286" t="s">
        <v>89</v>
      </c>
      <c r="K286" s="6">
        <v>46100</v>
      </c>
      <c r="L286" t="s">
        <v>91</v>
      </c>
      <c r="M286" t="s">
        <v>92</v>
      </c>
      <c r="N286" t="s">
        <v>94</v>
      </c>
    </row>
    <row r="287" spans="1:14" x14ac:dyDescent="0.25">
      <c r="A287" t="s">
        <v>335</v>
      </c>
      <c r="B287" t="s">
        <v>88</v>
      </c>
      <c r="C287" t="s">
        <v>16</v>
      </c>
      <c r="D287" s="6">
        <v>46104</v>
      </c>
      <c r="E287" s="2">
        <f t="shared" si="206"/>
        <v>46134</v>
      </c>
      <c r="F287">
        <f t="shared" ca="1" si="207"/>
        <v>27</v>
      </c>
      <c r="G287">
        <v>5</v>
      </c>
      <c r="H287">
        <v>35</v>
      </c>
      <c r="I287">
        <f t="shared" si="208"/>
        <v>30</v>
      </c>
      <c r="J287" t="s">
        <v>89</v>
      </c>
      <c r="K287" s="6">
        <v>46107</v>
      </c>
      <c r="L287" t="s">
        <v>91</v>
      </c>
      <c r="M287" t="s">
        <v>92</v>
      </c>
      <c r="N287" t="s">
        <v>94</v>
      </c>
    </row>
    <row r="288" spans="1:14" x14ac:dyDescent="0.25">
      <c r="A288" t="s">
        <v>334</v>
      </c>
      <c r="B288" t="s">
        <v>321</v>
      </c>
      <c r="C288" t="s">
        <v>20</v>
      </c>
      <c r="D288" s="6">
        <v>45958</v>
      </c>
      <c r="E288" s="2">
        <f t="shared" si="206"/>
        <v>46323</v>
      </c>
      <c r="F288">
        <f t="shared" ca="1" si="207"/>
        <v>216</v>
      </c>
      <c r="G288">
        <v>150</v>
      </c>
      <c r="H288">
        <v>180</v>
      </c>
      <c r="I288">
        <f t="shared" si="208"/>
        <v>30</v>
      </c>
      <c r="J288" t="s">
        <v>89</v>
      </c>
      <c r="K288" s="6">
        <v>46107</v>
      </c>
      <c r="L288" t="s">
        <v>91</v>
      </c>
      <c r="M288" t="s">
        <v>92</v>
      </c>
      <c r="N288" t="s">
        <v>94</v>
      </c>
    </row>
    <row r="289" spans="1:14" x14ac:dyDescent="0.25">
      <c r="A289" t="s">
        <v>336</v>
      </c>
      <c r="B289" t="s">
        <v>321</v>
      </c>
      <c r="C289" t="s">
        <v>16</v>
      </c>
      <c r="D289" s="6">
        <v>46104</v>
      </c>
      <c r="E289" s="2">
        <f t="shared" si="206"/>
        <v>46134</v>
      </c>
      <c r="F289">
        <f t="shared" ca="1" si="207"/>
        <v>27</v>
      </c>
      <c r="G289">
        <v>15</v>
      </c>
      <c r="H289">
        <v>25</v>
      </c>
      <c r="I289">
        <f t="shared" si="208"/>
        <v>10</v>
      </c>
      <c r="J289" t="s">
        <v>89</v>
      </c>
      <c r="K289" s="6">
        <v>46107</v>
      </c>
      <c r="L289" t="s">
        <v>91</v>
      </c>
      <c r="M289" t="s">
        <v>92</v>
      </c>
      <c r="N289" t="s">
        <v>94</v>
      </c>
    </row>
    <row r="290" spans="1:14" x14ac:dyDescent="0.25">
      <c r="A290" s="3" t="s">
        <v>337</v>
      </c>
      <c r="B290" t="s">
        <v>85</v>
      </c>
      <c r="C290" t="s">
        <v>16</v>
      </c>
      <c r="D290" s="8">
        <v>46103</v>
      </c>
      <c r="E290" s="2">
        <f t="shared" si="206"/>
        <v>46133</v>
      </c>
      <c r="F290">
        <f t="shared" ca="1" si="207"/>
        <v>26</v>
      </c>
      <c r="G290">
        <v>5</v>
      </c>
      <c r="H290">
        <v>35</v>
      </c>
      <c r="I290">
        <f t="shared" si="208"/>
        <v>30</v>
      </c>
      <c r="J290" t="s">
        <v>89</v>
      </c>
      <c r="K290" s="6">
        <v>46100</v>
      </c>
      <c r="L290" t="s">
        <v>91</v>
      </c>
      <c r="M290" t="s">
        <v>92</v>
      </c>
      <c r="N290" t="s">
        <v>94</v>
      </c>
    </row>
    <row r="291" spans="1:14" x14ac:dyDescent="0.25">
      <c r="A291" t="s">
        <v>338</v>
      </c>
      <c r="B291" t="s">
        <v>85</v>
      </c>
      <c r="C291" t="s">
        <v>16</v>
      </c>
      <c r="D291" s="8">
        <v>46103</v>
      </c>
      <c r="E291" s="2">
        <f t="shared" ref="E291" si="218">IF(C291&lt;&gt;"",D291+VLOOKUP(C291,$T$2:$U$6,2,FALSE),"")</f>
        <v>46133</v>
      </c>
      <c r="F291">
        <f t="shared" ref="F291" ca="1" si="219">IF(E291&lt;&gt;"",E291-TODAY(),"")</f>
        <v>26</v>
      </c>
      <c r="G291">
        <v>5</v>
      </c>
      <c r="H291">
        <v>35</v>
      </c>
      <c r="I291">
        <f t="shared" ref="I291" si="220">IF(H291&lt;&gt;"",H291-G291,"")</f>
        <v>30</v>
      </c>
      <c r="J291" t="s">
        <v>89</v>
      </c>
      <c r="K291" s="6">
        <v>46100</v>
      </c>
      <c r="L291" t="s">
        <v>91</v>
      </c>
      <c r="M291" t="s">
        <v>92</v>
      </c>
      <c r="N291" t="s">
        <v>94</v>
      </c>
    </row>
    <row r="292" spans="1:14" x14ac:dyDescent="0.25">
      <c r="A292" t="s">
        <v>339</v>
      </c>
      <c r="B292" t="s">
        <v>85</v>
      </c>
      <c r="C292" t="s">
        <v>16</v>
      </c>
      <c r="D292" s="8">
        <v>46103</v>
      </c>
      <c r="E292" s="2">
        <f t="shared" ref="E292" si="221">IF(C292&lt;&gt;"",D292+VLOOKUP(C292,$T$2:$U$6,2,FALSE),"")</f>
        <v>46133</v>
      </c>
      <c r="F292">
        <f t="shared" ref="F292" ca="1" si="222">IF(E292&lt;&gt;"",E292-TODAY(),"")</f>
        <v>26</v>
      </c>
      <c r="G292">
        <v>5</v>
      </c>
      <c r="H292">
        <v>35</v>
      </c>
      <c r="I292">
        <f t="shared" ref="I292" si="223">IF(H292&lt;&gt;"",H292-G292,"")</f>
        <v>30</v>
      </c>
      <c r="J292" t="s">
        <v>89</v>
      </c>
      <c r="K292" s="6">
        <v>46100</v>
      </c>
      <c r="L292" t="s">
        <v>91</v>
      </c>
      <c r="M292" t="s">
        <v>92</v>
      </c>
      <c r="N292" t="s">
        <v>94</v>
      </c>
    </row>
    <row r="293" spans="1:14" x14ac:dyDescent="0.25">
      <c r="A293" t="s">
        <v>101</v>
      </c>
      <c r="B293" t="s">
        <v>85</v>
      </c>
      <c r="C293" t="s">
        <v>16</v>
      </c>
      <c r="D293" s="8">
        <v>46103</v>
      </c>
      <c r="E293" s="2">
        <f t="shared" si="206"/>
        <v>46133</v>
      </c>
      <c r="F293">
        <f t="shared" ca="1" si="207"/>
        <v>26</v>
      </c>
      <c r="G293">
        <v>5</v>
      </c>
      <c r="H293">
        <v>35</v>
      </c>
      <c r="I293">
        <f t="shared" si="208"/>
        <v>30</v>
      </c>
      <c r="J293" t="s">
        <v>89</v>
      </c>
      <c r="K293" s="6">
        <v>46100</v>
      </c>
      <c r="L293" t="s">
        <v>91</v>
      </c>
      <c r="M293" t="s">
        <v>92</v>
      </c>
      <c r="N293" t="s">
        <v>94</v>
      </c>
    </row>
    <row r="294" spans="1:14" x14ac:dyDescent="0.25">
      <c r="A294" t="s">
        <v>340</v>
      </c>
      <c r="B294" t="s">
        <v>85</v>
      </c>
      <c r="C294" t="s">
        <v>16</v>
      </c>
      <c r="D294" s="8">
        <v>46103</v>
      </c>
      <c r="E294" s="2">
        <f t="shared" ref="E294" si="224">IF(C294&lt;&gt;"",D294+VLOOKUP(C294,$T$2:$U$6,2,FALSE),"")</f>
        <v>46133</v>
      </c>
      <c r="F294">
        <f t="shared" ref="F294" ca="1" si="225">IF(E294&lt;&gt;"",E294-TODAY(),"")</f>
        <v>26</v>
      </c>
      <c r="G294">
        <v>5</v>
      </c>
      <c r="H294">
        <v>35</v>
      </c>
      <c r="I294">
        <f t="shared" ref="I294" si="226">IF(H294&lt;&gt;"",H294-G294,"")</f>
        <v>30</v>
      </c>
      <c r="J294" t="s">
        <v>89</v>
      </c>
      <c r="K294" s="6">
        <v>46100</v>
      </c>
      <c r="L294" t="s">
        <v>91</v>
      </c>
      <c r="M294" t="s">
        <v>92</v>
      </c>
      <c r="N294" t="s">
        <v>94</v>
      </c>
    </row>
    <row r="295" spans="1:14" x14ac:dyDescent="0.25">
      <c r="A295" s="3" t="s">
        <v>341</v>
      </c>
      <c r="B295" t="s">
        <v>85</v>
      </c>
      <c r="C295" t="s">
        <v>16</v>
      </c>
      <c r="D295" s="8">
        <v>46104</v>
      </c>
      <c r="E295" s="2">
        <f t="shared" ref="E295" si="227">IF(C295&lt;&gt;"",D295+VLOOKUP(C295,$T$2:$U$6,2,FALSE),"")</f>
        <v>46134</v>
      </c>
      <c r="F295">
        <f t="shared" ref="F295" ca="1" si="228">IF(E295&lt;&gt;"",E295-TODAY(),"")</f>
        <v>27</v>
      </c>
      <c r="G295">
        <v>5</v>
      </c>
      <c r="H295">
        <v>35</v>
      </c>
      <c r="I295">
        <f t="shared" ref="I295" si="229">IF(H295&lt;&gt;"",H295-G295,"")</f>
        <v>30</v>
      </c>
      <c r="J295" t="s">
        <v>89</v>
      </c>
      <c r="K295" s="6">
        <v>46100</v>
      </c>
      <c r="L295" t="s">
        <v>91</v>
      </c>
      <c r="M295" t="s">
        <v>92</v>
      </c>
      <c r="N295" t="s">
        <v>94</v>
      </c>
    </row>
    <row r="296" spans="1:14" x14ac:dyDescent="0.25">
      <c r="A296" s="3" t="s">
        <v>342</v>
      </c>
      <c r="B296" t="s">
        <v>85</v>
      </c>
      <c r="C296" t="s">
        <v>16</v>
      </c>
      <c r="D296" s="8">
        <v>46104</v>
      </c>
      <c r="E296" s="2">
        <f t="shared" ref="E296:E300" si="230">IF(C296&lt;&gt;"",D296+VLOOKUP(C296,$T$2:$U$6,2,FALSE),"")</f>
        <v>46134</v>
      </c>
      <c r="F296">
        <f t="shared" ref="F296:F300" ca="1" si="231">IF(E296&lt;&gt;"",E296-TODAY(),"")</f>
        <v>27</v>
      </c>
      <c r="G296">
        <v>5</v>
      </c>
      <c r="H296">
        <v>35</v>
      </c>
      <c r="I296">
        <f t="shared" ref="I296:I300" si="232">IF(H296&lt;&gt;"",H296-G296,"")</f>
        <v>30</v>
      </c>
      <c r="J296" t="s">
        <v>89</v>
      </c>
      <c r="K296" s="6">
        <v>46100</v>
      </c>
      <c r="L296" t="s">
        <v>91</v>
      </c>
      <c r="M296" t="s">
        <v>92</v>
      </c>
      <c r="N296" t="s">
        <v>94</v>
      </c>
    </row>
    <row r="297" spans="1:14" x14ac:dyDescent="0.25">
      <c r="A297" s="3" t="s">
        <v>317</v>
      </c>
      <c r="B297" t="s">
        <v>321</v>
      </c>
      <c r="C297" t="s">
        <v>16</v>
      </c>
      <c r="D297" s="8">
        <v>46104</v>
      </c>
      <c r="E297" s="2">
        <f t="shared" si="230"/>
        <v>46134</v>
      </c>
      <c r="F297">
        <f t="shared" ca="1" si="231"/>
        <v>27</v>
      </c>
      <c r="G297">
        <v>5</v>
      </c>
      <c r="H297">
        <v>35</v>
      </c>
      <c r="I297">
        <f t="shared" si="232"/>
        <v>30</v>
      </c>
      <c r="J297" t="s">
        <v>89</v>
      </c>
      <c r="K297" s="6">
        <v>46100</v>
      </c>
      <c r="L297" t="s">
        <v>91</v>
      </c>
      <c r="M297" t="s">
        <v>92</v>
      </c>
      <c r="N297" t="s">
        <v>94</v>
      </c>
    </row>
    <row r="298" spans="1:14" x14ac:dyDescent="0.25">
      <c r="A298" t="s">
        <v>343</v>
      </c>
      <c r="B298" t="s">
        <v>85</v>
      </c>
      <c r="C298" t="s">
        <v>16</v>
      </c>
      <c r="D298" s="8">
        <v>46104</v>
      </c>
      <c r="E298" s="2">
        <f t="shared" si="230"/>
        <v>46134</v>
      </c>
      <c r="F298">
        <f t="shared" ca="1" si="231"/>
        <v>27</v>
      </c>
      <c r="G298">
        <v>5</v>
      </c>
      <c r="H298">
        <v>35</v>
      </c>
      <c r="I298">
        <f t="shared" si="232"/>
        <v>30</v>
      </c>
      <c r="J298" t="s">
        <v>89</v>
      </c>
      <c r="K298" s="6">
        <v>46100</v>
      </c>
      <c r="L298" t="s">
        <v>91</v>
      </c>
      <c r="M298" t="s">
        <v>92</v>
      </c>
      <c r="N298" t="s">
        <v>94</v>
      </c>
    </row>
    <row r="299" spans="1:14" x14ac:dyDescent="0.25">
      <c r="A299" t="s">
        <v>344</v>
      </c>
      <c r="B299" t="s">
        <v>85</v>
      </c>
      <c r="C299" t="s">
        <v>16</v>
      </c>
      <c r="D299" s="8">
        <v>46104</v>
      </c>
      <c r="E299" s="2">
        <f t="shared" si="230"/>
        <v>46134</v>
      </c>
      <c r="F299">
        <f t="shared" ca="1" si="231"/>
        <v>27</v>
      </c>
      <c r="G299">
        <v>5</v>
      </c>
      <c r="H299">
        <v>35</v>
      </c>
      <c r="I299">
        <f t="shared" si="232"/>
        <v>30</v>
      </c>
      <c r="J299" t="s">
        <v>89</v>
      </c>
      <c r="K299" s="6">
        <v>46100</v>
      </c>
      <c r="L299" t="s">
        <v>91</v>
      </c>
      <c r="M299" t="s">
        <v>92</v>
      </c>
      <c r="N299" t="s">
        <v>94</v>
      </c>
    </row>
    <row r="300" spans="1:14" x14ac:dyDescent="0.25">
      <c r="A300" t="s">
        <v>345</v>
      </c>
      <c r="B300" t="s">
        <v>85</v>
      </c>
      <c r="C300" t="s">
        <v>16</v>
      </c>
      <c r="D300" s="8">
        <v>46104</v>
      </c>
      <c r="E300" s="2">
        <f t="shared" si="230"/>
        <v>46134</v>
      </c>
      <c r="F300">
        <f t="shared" ca="1" si="231"/>
        <v>27</v>
      </c>
      <c r="G300">
        <v>5</v>
      </c>
      <c r="H300">
        <v>35</v>
      </c>
      <c r="I300">
        <f t="shared" si="232"/>
        <v>30</v>
      </c>
      <c r="J300" t="s">
        <v>89</v>
      </c>
      <c r="K300" s="6">
        <v>46100</v>
      </c>
      <c r="L300" t="s">
        <v>91</v>
      </c>
      <c r="M300" t="s">
        <v>92</v>
      </c>
      <c r="N300" t="s">
        <v>94</v>
      </c>
    </row>
    <row r="301" spans="1:14" x14ac:dyDescent="0.25">
      <c r="A301" t="s">
        <v>348</v>
      </c>
      <c r="B301" t="s">
        <v>85</v>
      </c>
      <c r="C301" t="s">
        <v>16</v>
      </c>
      <c r="D301" s="8">
        <v>46107</v>
      </c>
      <c r="E301" s="2">
        <f t="shared" ref="E301" si="233">IF(C301&lt;&gt;"",D301+VLOOKUP(C301,$T$2:$U$6,2,FALSE),"")</f>
        <v>46137</v>
      </c>
      <c r="F301">
        <f t="shared" ref="F301" ca="1" si="234">IF(E301&lt;&gt;"",E301-TODAY(),"")</f>
        <v>30</v>
      </c>
      <c r="G301">
        <v>5</v>
      </c>
      <c r="H301">
        <v>35</v>
      </c>
      <c r="I301">
        <f t="shared" ref="I301" si="235">IF(H301&lt;&gt;"",H301-G301,"")</f>
        <v>30</v>
      </c>
      <c r="J301" t="s">
        <v>89</v>
      </c>
      <c r="K301" s="6">
        <v>46100</v>
      </c>
      <c r="L301" t="s">
        <v>91</v>
      </c>
      <c r="M301" t="s">
        <v>92</v>
      </c>
      <c r="N301" t="s">
        <v>94</v>
      </c>
    </row>
    <row r="302" spans="1:14" x14ac:dyDescent="0.25">
      <c r="A302" t="s">
        <v>349</v>
      </c>
      <c r="B302" t="s">
        <v>85</v>
      </c>
      <c r="C302" t="s">
        <v>16</v>
      </c>
      <c r="D302" s="8">
        <v>46107</v>
      </c>
      <c r="E302" s="2">
        <f t="shared" ref="E302:E303" si="236">IF(C302&lt;&gt;"",D302+VLOOKUP(C302,$T$2:$U$6,2,FALSE),"")</f>
        <v>46137</v>
      </c>
      <c r="F302">
        <f t="shared" ref="F302:F303" ca="1" si="237">IF(E302&lt;&gt;"",E302-TODAY(),"")</f>
        <v>30</v>
      </c>
      <c r="G302">
        <v>5</v>
      </c>
      <c r="H302">
        <v>35</v>
      </c>
      <c r="I302">
        <f t="shared" ref="I302:I303" si="238">IF(H302&lt;&gt;"",H302-G302,"")</f>
        <v>30</v>
      </c>
      <c r="J302" t="s">
        <v>90</v>
      </c>
      <c r="K302" s="6">
        <v>46100</v>
      </c>
      <c r="L302" t="s">
        <v>91</v>
      </c>
      <c r="M302" t="s">
        <v>92</v>
      </c>
      <c r="N302" t="s">
        <v>94</v>
      </c>
    </row>
    <row r="303" spans="1:14" x14ac:dyDescent="0.25">
      <c r="A303" t="s">
        <v>350</v>
      </c>
      <c r="B303" t="s">
        <v>85</v>
      </c>
      <c r="C303" t="s">
        <v>16</v>
      </c>
      <c r="D303" s="8">
        <v>46107</v>
      </c>
      <c r="E303" s="2">
        <f t="shared" si="236"/>
        <v>46137</v>
      </c>
      <c r="F303">
        <f t="shared" ca="1" si="237"/>
        <v>30</v>
      </c>
      <c r="G303">
        <v>5</v>
      </c>
      <c r="H303">
        <v>35</v>
      </c>
      <c r="I303">
        <f t="shared" si="238"/>
        <v>30</v>
      </c>
      <c r="J303" t="s">
        <v>89</v>
      </c>
      <c r="K303" s="6">
        <v>46100</v>
      </c>
      <c r="L303" t="s">
        <v>91</v>
      </c>
      <c r="M303" t="s">
        <v>92</v>
      </c>
      <c r="N303" t="s">
        <v>94</v>
      </c>
    </row>
    <row r="304" spans="1:14" x14ac:dyDescent="0.25">
      <c r="E304" s="2" t="str">
        <f t="shared" si="206"/>
        <v/>
      </c>
      <c r="F304" t="str">
        <f t="shared" ca="1" si="207"/>
        <v/>
      </c>
      <c r="I304" t="str">
        <f t="shared" si="208"/>
        <v/>
      </c>
    </row>
    <row r="305" spans="5:9" x14ac:dyDescent="0.25">
      <c r="E305" s="2" t="str">
        <f t="shared" si="206"/>
        <v/>
      </c>
      <c r="F305" t="str">
        <f t="shared" ca="1" si="207"/>
        <v/>
      </c>
      <c r="I305" t="str">
        <f t="shared" si="208"/>
        <v/>
      </c>
    </row>
    <row r="306" spans="5:9" x14ac:dyDescent="0.25">
      <c r="E306" s="2" t="str">
        <f t="shared" si="206"/>
        <v/>
      </c>
      <c r="F306" t="str">
        <f t="shared" ca="1" si="207"/>
        <v/>
      </c>
      <c r="I306" t="str">
        <f t="shared" si="208"/>
        <v/>
      </c>
    </row>
    <row r="307" spans="5:9" x14ac:dyDescent="0.25">
      <c r="E307" s="2" t="str">
        <f t="shared" si="206"/>
        <v/>
      </c>
      <c r="F307" t="str">
        <f t="shared" ca="1" si="207"/>
        <v/>
      </c>
      <c r="I307" t="str">
        <f t="shared" si="208"/>
        <v/>
      </c>
    </row>
    <row r="308" spans="5:9" x14ac:dyDescent="0.25">
      <c r="E308" s="2" t="str">
        <f t="shared" si="206"/>
        <v/>
      </c>
      <c r="F308" t="str">
        <f t="shared" ca="1" si="207"/>
        <v/>
      </c>
      <c r="I308" t="str">
        <f t="shared" si="208"/>
        <v/>
      </c>
    </row>
    <row r="309" spans="5:9" x14ac:dyDescent="0.25">
      <c r="E309" s="2" t="str">
        <f t="shared" si="206"/>
        <v/>
      </c>
      <c r="F309" t="str">
        <f t="shared" ca="1" si="207"/>
        <v/>
      </c>
      <c r="I309" t="str">
        <f t="shared" si="208"/>
        <v/>
      </c>
    </row>
    <row r="310" spans="5:9" x14ac:dyDescent="0.25">
      <c r="E310" s="2" t="str">
        <f t="shared" si="206"/>
        <v/>
      </c>
      <c r="F310" t="str">
        <f t="shared" ca="1" si="207"/>
        <v/>
      </c>
      <c r="I310" t="str">
        <f t="shared" si="208"/>
        <v/>
      </c>
    </row>
    <row r="311" spans="5:9" x14ac:dyDescent="0.25">
      <c r="E311" s="2" t="str">
        <f t="shared" si="206"/>
        <v/>
      </c>
      <c r="F311" t="str">
        <f t="shared" ca="1" si="207"/>
        <v/>
      </c>
      <c r="I311" t="str">
        <f t="shared" si="208"/>
        <v/>
      </c>
    </row>
    <row r="312" spans="5:9" x14ac:dyDescent="0.25">
      <c r="E312" s="2" t="str">
        <f t="shared" si="206"/>
        <v/>
      </c>
      <c r="F312" t="str">
        <f t="shared" ca="1" si="207"/>
        <v/>
      </c>
      <c r="I312" t="str">
        <f t="shared" si="208"/>
        <v/>
      </c>
    </row>
    <row r="313" spans="5:9" x14ac:dyDescent="0.25">
      <c r="E313" s="2" t="str">
        <f t="shared" si="206"/>
        <v/>
      </c>
      <c r="F313" t="str">
        <f t="shared" ca="1" si="207"/>
        <v/>
      </c>
      <c r="I313" t="str">
        <f t="shared" si="208"/>
        <v/>
      </c>
    </row>
    <row r="314" spans="5:9" x14ac:dyDescent="0.25">
      <c r="E314" s="2" t="str">
        <f t="shared" si="206"/>
        <v/>
      </c>
      <c r="F314" t="str">
        <f t="shared" ca="1" si="207"/>
        <v/>
      </c>
      <c r="I314" t="str">
        <f t="shared" si="208"/>
        <v/>
      </c>
    </row>
    <row r="315" spans="5:9" x14ac:dyDescent="0.25">
      <c r="E315" s="2" t="str">
        <f t="shared" si="206"/>
        <v/>
      </c>
      <c r="F315" t="str">
        <f t="shared" ca="1" si="207"/>
        <v/>
      </c>
      <c r="I315" t="str">
        <f t="shared" si="208"/>
        <v/>
      </c>
    </row>
    <row r="316" spans="5:9" x14ac:dyDescent="0.25">
      <c r="E316" s="2" t="str">
        <f t="shared" si="206"/>
        <v/>
      </c>
      <c r="F316" t="str">
        <f t="shared" ca="1" si="207"/>
        <v/>
      </c>
      <c r="I316" t="str">
        <f t="shared" si="208"/>
        <v/>
      </c>
    </row>
    <row r="317" spans="5:9" x14ac:dyDescent="0.25">
      <c r="E317" s="2" t="str">
        <f t="shared" si="206"/>
        <v/>
      </c>
      <c r="F317" t="str">
        <f t="shared" ca="1" si="207"/>
        <v/>
      </c>
      <c r="I317" t="str">
        <f t="shared" si="208"/>
        <v/>
      </c>
    </row>
    <row r="318" spans="5:9" x14ac:dyDescent="0.25">
      <c r="E318" s="2" t="str">
        <f t="shared" si="206"/>
        <v/>
      </c>
      <c r="F318" t="str">
        <f t="shared" ca="1" si="207"/>
        <v/>
      </c>
      <c r="I318" t="str">
        <f t="shared" si="208"/>
        <v/>
      </c>
    </row>
    <row r="319" spans="5:9" x14ac:dyDescent="0.25">
      <c r="E319" s="2" t="str">
        <f t="shared" si="206"/>
        <v/>
      </c>
      <c r="F319" t="str">
        <f t="shared" ca="1" si="207"/>
        <v/>
      </c>
      <c r="I319" t="str">
        <f t="shared" si="208"/>
        <v/>
      </c>
    </row>
    <row r="320" spans="5:9" x14ac:dyDescent="0.25">
      <c r="E320" s="2" t="str">
        <f t="shared" si="206"/>
        <v/>
      </c>
      <c r="F320" t="str">
        <f t="shared" ca="1" si="207"/>
        <v/>
      </c>
      <c r="I320" t="str">
        <f t="shared" si="208"/>
        <v/>
      </c>
    </row>
    <row r="321" spans="5:9" x14ac:dyDescent="0.25">
      <c r="E321" s="2" t="str">
        <f t="shared" si="206"/>
        <v/>
      </c>
      <c r="F321" t="str">
        <f t="shared" ca="1" si="207"/>
        <v/>
      </c>
      <c r="I321" t="str">
        <f t="shared" si="208"/>
        <v/>
      </c>
    </row>
    <row r="322" spans="5:9" x14ac:dyDescent="0.25">
      <c r="E322" s="2" t="str">
        <f t="shared" ref="E322:E385" si="239">IF(C322&lt;&gt;"",D322+VLOOKUP(C322,$T$2:$U$6,2,FALSE),"")</f>
        <v/>
      </c>
      <c r="F322" t="str">
        <f t="shared" ref="F322:F385" ca="1" si="240">IF(E322&lt;&gt;"",E322-TODAY(),"")</f>
        <v/>
      </c>
      <c r="I322" t="str">
        <f t="shared" ref="I322:I385" si="241">IF(H322&lt;&gt;"",H322-G322,"")</f>
        <v/>
      </c>
    </row>
    <row r="323" spans="5:9" x14ac:dyDescent="0.25">
      <c r="E323" s="2" t="str">
        <f t="shared" si="239"/>
        <v/>
      </c>
      <c r="F323" t="str">
        <f t="shared" ca="1" si="240"/>
        <v/>
      </c>
      <c r="I323" t="str">
        <f t="shared" si="241"/>
        <v/>
      </c>
    </row>
    <row r="324" spans="5:9" x14ac:dyDescent="0.25">
      <c r="E324" s="2" t="str">
        <f t="shared" si="239"/>
        <v/>
      </c>
      <c r="F324" t="str">
        <f t="shared" ca="1" si="240"/>
        <v/>
      </c>
      <c r="I324" t="str">
        <f t="shared" si="241"/>
        <v/>
      </c>
    </row>
    <row r="325" spans="5:9" x14ac:dyDescent="0.25">
      <c r="E325" s="2" t="str">
        <f t="shared" si="239"/>
        <v/>
      </c>
      <c r="F325" t="str">
        <f t="shared" ca="1" si="240"/>
        <v/>
      </c>
      <c r="I325" t="str">
        <f t="shared" si="241"/>
        <v/>
      </c>
    </row>
    <row r="326" spans="5:9" x14ac:dyDescent="0.25">
      <c r="E326" s="2" t="str">
        <f t="shared" si="239"/>
        <v/>
      </c>
      <c r="F326" t="str">
        <f t="shared" ca="1" si="240"/>
        <v/>
      </c>
      <c r="I326" t="str">
        <f t="shared" si="241"/>
        <v/>
      </c>
    </row>
    <row r="327" spans="5:9" x14ac:dyDescent="0.25">
      <c r="E327" s="2" t="str">
        <f t="shared" si="239"/>
        <v/>
      </c>
      <c r="F327" t="str">
        <f t="shared" ca="1" si="240"/>
        <v/>
      </c>
      <c r="I327" t="str">
        <f t="shared" si="241"/>
        <v/>
      </c>
    </row>
    <row r="328" spans="5:9" x14ac:dyDescent="0.25">
      <c r="E328" s="2" t="str">
        <f t="shared" si="239"/>
        <v/>
      </c>
      <c r="F328" t="str">
        <f t="shared" ca="1" si="240"/>
        <v/>
      </c>
      <c r="I328" t="str">
        <f t="shared" si="241"/>
        <v/>
      </c>
    </row>
    <row r="329" spans="5:9" x14ac:dyDescent="0.25">
      <c r="E329" s="2" t="str">
        <f t="shared" si="239"/>
        <v/>
      </c>
      <c r="F329" t="str">
        <f t="shared" ca="1" si="240"/>
        <v/>
      </c>
      <c r="I329" t="str">
        <f t="shared" si="241"/>
        <v/>
      </c>
    </row>
    <row r="330" spans="5:9" x14ac:dyDescent="0.25">
      <c r="E330" s="2" t="str">
        <f t="shared" si="239"/>
        <v/>
      </c>
      <c r="F330" t="str">
        <f t="shared" ca="1" si="240"/>
        <v/>
      </c>
      <c r="I330" t="str">
        <f t="shared" si="241"/>
        <v/>
      </c>
    </row>
    <row r="331" spans="5:9" x14ac:dyDescent="0.25">
      <c r="E331" s="2" t="str">
        <f t="shared" si="239"/>
        <v/>
      </c>
      <c r="F331" t="str">
        <f t="shared" ca="1" si="240"/>
        <v/>
      </c>
      <c r="I331" t="str">
        <f t="shared" si="241"/>
        <v/>
      </c>
    </row>
    <row r="332" spans="5:9" x14ac:dyDescent="0.25">
      <c r="E332" s="2" t="str">
        <f t="shared" si="239"/>
        <v/>
      </c>
      <c r="F332" t="str">
        <f t="shared" ca="1" si="240"/>
        <v/>
      </c>
      <c r="I332" t="str">
        <f t="shared" si="241"/>
        <v/>
      </c>
    </row>
    <row r="333" spans="5:9" x14ac:dyDescent="0.25">
      <c r="E333" s="2" t="str">
        <f t="shared" si="239"/>
        <v/>
      </c>
      <c r="F333" t="str">
        <f t="shared" ca="1" si="240"/>
        <v/>
      </c>
      <c r="I333" t="str">
        <f t="shared" si="241"/>
        <v/>
      </c>
    </row>
    <row r="334" spans="5:9" x14ac:dyDescent="0.25">
      <c r="E334" s="2" t="str">
        <f t="shared" si="239"/>
        <v/>
      </c>
      <c r="F334" t="str">
        <f t="shared" ca="1" si="240"/>
        <v/>
      </c>
      <c r="I334" t="str">
        <f t="shared" si="241"/>
        <v/>
      </c>
    </row>
    <row r="335" spans="5:9" x14ac:dyDescent="0.25">
      <c r="E335" s="2" t="str">
        <f t="shared" si="239"/>
        <v/>
      </c>
      <c r="F335" t="str">
        <f t="shared" ca="1" si="240"/>
        <v/>
      </c>
      <c r="I335" t="str">
        <f t="shared" si="241"/>
        <v/>
      </c>
    </row>
    <row r="336" spans="5:9" x14ac:dyDescent="0.25">
      <c r="E336" s="2" t="str">
        <f t="shared" si="239"/>
        <v/>
      </c>
      <c r="F336" t="str">
        <f t="shared" ca="1" si="240"/>
        <v/>
      </c>
      <c r="I336" t="str">
        <f t="shared" si="241"/>
        <v/>
      </c>
    </row>
    <row r="337" spans="5:9" x14ac:dyDescent="0.25">
      <c r="E337" s="2" t="str">
        <f t="shared" si="239"/>
        <v/>
      </c>
      <c r="F337" t="str">
        <f t="shared" ca="1" si="240"/>
        <v/>
      </c>
      <c r="I337" t="str">
        <f t="shared" si="241"/>
        <v/>
      </c>
    </row>
    <row r="338" spans="5:9" x14ac:dyDescent="0.25">
      <c r="E338" s="2" t="str">
        <f t="shared" si="239"/>
        <v/>
      </c>
      <c r="F338" t="str">
        <f t="shared" ca="1" si="240"/>
        <v/>
      </c>
      <c r="I338" t="str">
        <f t="shared" si="241"/>
        <v/>
      </c>
    </row>
    <row r="339" spans="5:9" x14ac:dyDescent="0.25">
      <c r="E339" s="2" t="str">
        <f t="shared" si="239"/>
        <v/>
      </c>
      <c r="F339" t="str">
        <f t="shared" ca="1" si="240"/>
        <v/>
      </c>
      <c r="I339" t="str">
        <f t="shared" si="241"/>
        <v/>
      </c>
    </row>
    <row r="340" spans="5:9" x14ac:dyDescent="0.25">
      <c r="E340" s="2" t="str">
        <f t="shared" si="239"/>
        <v/>
      </c>
      <c r="F340" t="str">
        <f t="shared" ca="1" si="240"/>
        <v/>
      </c>
      <c r="I340" t="str">
        <f t="shared" si="241"/>
        <v/>
      </c>
    </row>
    <row r="341" spans="5:9" x14ac:dyDescent="0.25">
      <c r="E341" s="2" t="str">
        <f t="shared" si="239"/>
        <v/>
      </c>
      <c r="F341" t="str">
        <f t="shared" ca="1" si="240"/>
        <v/>
      </c>
      <c r="I341" t="str">
        <f t="shared" si="241"/>
        <v/>
      </c>
    </row>
    <row r="342" spans="5:9" x14ac:dyDescent="0.25">
      <c r="E342" s="2" t="str">
        <f t="shared" si="239"/>
        <v/>
      </c>
      <c r="F342" t="str">
        <f t="shared" ca="1" si="240"/>
        <v/>
      </c>
      <c r="I342" t="str">
        <f t="shared" si="241"/>
        <v/>
      </c>
    </row>
    <row r="343" spans="5:9" x14ac:dyDescent="0.25">
      <c r="E343" s="2" t="str">
        <f t="shared" si="239"/>
        <v/>
      </c>
      <c r="F343" t="str">
        <f t="shared" ca="1" si="240"/>
        <v/>
      </c>
      <c r="I343" t="str">
        <f t="shared" si="241"/>
        <v/>
      </c>
    </row>
    <row r="344" spans="5:9" x14ac:dyDescent="0.25">
      <c r="E344" s="2" t="str">
        <f t="shared" si="239"/>
        <v/>
      </c>
      <c r="F344" t="str">
        <f t="shared" ca="1" si="240"/>
        <v/>
      </c>
      <c r="I344" t="str">
        <f t="shared" si="241"/>
        <v/>
      </c>
    </row>
    <row r="345" spans="5:9" x14ac:dyDescent="0.25">
      <c r="E345" s="2" t="str">
        <f t="shared" si="239"/>
        <v/>
      </c>
      <c r="F345" t="str">
        <f t="shared" ca="1" si="240"/>
        <v/>
      </c>
      <c r="I345" t="str">
        <f t="shared" si="241"/>
        <v/>
      </c>
    </row>
    <row r="346" spans="5:9" x14ac:dyDescent="0.25">
      <c r="E346" s="2" t="str">
        <f t="shared" si="239"/>
        <v/>
      </c>
      <c r="F346" t="str">
        <f t="shared" ca="1" si="240"/>
        <v/>
      </c>
      <c r="I346" t="str">
        <f t="shared" si="241"/>
        <v/>
      </c>
    </row>
    <row r="347" spans="5:9" x14ac:dyDescent="0.25">
      <c r="E347" s="2" t="str">
        <f t="shared" si="239"/>
        <v/>
      </c>
      <c r="F347" t="str">
        <f t="shared" ca="1" si="240"/>
        <v/>
      </c>
      <c r="I347" t="str">
        <f t="shared" si="241"/>
        <v/>
      </c>
    </row>
    <row r="348" spans="5:9" x14ac:dyDescent="0.25">
      <c r="E348" s="2" t="str">
        <f t="shared" si="239"/>
        <v/>
      </c>
      <c r="F348" t="str">
        <f t="shared" ca="1" si="240"/>
        <v/>
      </c>
      <c r="I348" t="str">
        <f t="shared" si="241"/>
        <v/>
      </c>
    </row>
    <row r="349" spans="5:9" x14ac:dyDescent="0.25">
      <c r="E349" s="2" t="str">
        <f t="shared" si="239"/>
        <v/>
      </c>
      <c r="F349" t="str">
        <f t="shared" ca="1" si="240"/>
        <v/>
      </c>
      <c r="I349" t="str">
        <f t="shared" si="241"/>
        <v/>
      </c>
    </row>
    <row r="350" spans="5:9" x14ac:dyDescent="0.25">
      <c r="E350" s="2" t="str">
        <f t="shared" si="239"/>
        <v/>
      </c>
      <c r="F350" t="str">
        <f t="shared" ca="1" si="240"/>
        <v/>
      </c>
      <c r="I350" t="str">
        <f t="shared" si="241"/>
        <v/>
      </c>
    </row>
    <row r="351" spans="5:9" x14ac:dyDescent="0.25">
      <c r="E351" s="2" t="str">
        <f t="shared" si="239"/>
        <v/>
      </c>
      <c r="F351" t="str">
        <f t="shared" ca="1" si="240"/>
        <v/>
      </c>
      <c r="I351" t="str">
        <f t="shared" si="241"/>
        <v/>
      </c>
    </row>
    <row r="352" spans="5:9" x14ac:dyDescent="0.25">
      <c r="E352" s="2" t="str">
        <f t="shared" si="239"/>
        <v/>
      </c>
      <c r="F352" t="str">
        <f t="shared" ca="1" si="240"/>
        <v/>
      </c>
      <c r="I352" t="str">
        <f t="shared" si="241"/>
        <v/>
      </c>
    </row>
    <row r="353" spans="5:9" x14ac:dyDescent="0.25">
      <c r="E353" s="2" t="str">
        <f t="shared" si="239"/>
        <v/>
      </c>
      <c r="F353" t="str">
        <f t="shared" ca="1" si="240"/>
        <v/>
      </c>
      <c r="I353" t="str">
        <f t="shared" si="241"/>
        <v/>
      </c>
    </row>
    <row r="354" spans="5:9" x14ac:dyDescent="0.25">
      <c r="E354" s="2" t="str">
        <f t="shared" si="239"/>
        <v/>
      </c>
      <c r="F354" t="str">
        <f t="shared" ca="1" si="240"/>
        <v/>
      </c>
      <c r="I354" t="str">
        <f t="shared" si="241"/>
        <v/>
      </c>
    </row>
    <row r="355" spans="5:9" x14ac:dyDescent="0.25">
      <c r="E355" s="2" t="str">
        <f t="shared" si="239"/>
        <v/>
      </c>
      <c r="F355" t="str">
        <f t="shared" ca="1" si="240"/>
        <v/>
      </c>
      <c r="I355" t="str">
        <f t="shared" si="241"/>
        <v/>
      </c>
    </row>
    <row r="356" spans="5:9" x14ac:dyDescent="0.25">
      <c r="E356" s="2" t="str">
        <f t="shared" si="239"/>
        <v/>
      </c>
      <c r="F356" t="str">
        <f t="shared" ca="1" si="240"/>
        <v/>
      </c>
      <c r="I356" t="str">
        <f t="shared" si="241"/>
        <v/>
      </c>
    </row>
    <row r="357" spans="5:9" x14ac:dyDescent="0.25">
      <c r="E357" s="2" t="str">
        <f t="shared" si="239"/>
        <v/>
      </c>
      <c r="F357" t="str">
        <f t="shared" ca="1" si="240"/>
        <v/>
      </c>
      <c r="I357" t="str">
        <f t="shared" si="241"/>
        <v/>
      </c>
    </row>
    <row r="358" spans="5:9" x14ac:dyDescent="0.25">
      <c r="E358" s="2" t="str">
        <f t="shared" si="239"/>
        <v/>
      </c>
      <c r="F358" t="str">
        <f t="shared" ca="1" si="240"/>
        <v/>
      </c>
      <c r="I358" t="str">
        <f t="shared" si="241"/>
        <v/>
      </c>
    </row>
    <row r="359" spans="5:9" x14ac:dyDescent="0.25">
      <c r="E359" s="2" t="str">
        <f t="shared" si="239"/>
        <v/>
      </c>
      <c r="F359" t="str">
        <f t="shared" ca="1" si="240"/>
        <v/>
      </c>
      <c r="I359" t="str">
        <f t="shared" si="241"/>
        <v/>
      </c>
    </row>
    <row r="360" spans="5:9" x14ac:dyDescent="0.25">
      <c r="E360" s="2" t="str">
        <f t="shared" si="239"/>
        <v/>
      </c>
      <c r="F360" t="str">
        <f t="shared" ca="1" si="240"/>
        <v/>
      </c>
      <c r="I360" t="str">
        <f t="shared" si="241"/>
        <v/>
      </c>
    </row>
    <row r="361" spans="5:9" x14ac:dyDescent="0.25">
      <c r="E361" s="2" t="str">
        <f t="shared" si="239"/>
        <v/>
      </c>
      <c r="F361" t="str">
        <f t="shared" ca="1" si="240"/>
        <v/>
      </c>
      <c r="I361" t="str">
        <f t="shared" si="241"/>
        <v/>
      </c>
    </row>
    <row r="362" spans="5:9" x14ac:dyDescent="0.25">
      <c r="E362" s="2" t="str">
        <f t="shared" si="239"/>
        <v/>
      </c>
      <c r="F362" t="str">
        <f t="shared" ca="1" si="240"/>
        <v/>
      </c>
      <c r="I362" t="str">
        <f t="shared" si="241"/>
        <v/>
      </c>
    </row>
    <row r="363" spans="5:9" x14ac:dyDescent="0.25">
      <c r="E363" s="2" t="str">
        <f t="shared" si="239"/>
        <v/>
      </c>
      <c r="F363" t="str">
        <f t="shared" ca="1" si="240"/>
        <v/>
      </c>
      <c r="I363" t="str">
        <f t="shared" si="241"/>
        <v/>
      </c>
    </row>
    <row r="364" spans="5:9" x14ac:dyDescent="0.25">
      <c r="E364" s="2" t="str">
        <f t="shared" si="239"/>
        <v/>
      </c>
      <c r="F364" t="str">
        <f t="shared" ca="1" si="240"/>
        <v/>
      </c>
      <c r="I364" t="str">
        <f t="shared" si="241"/>
        <v/>
      </c>
    </row>
    <row r="365" spans="5:9" x14ac:dyDescent="0.25">
      <c r="E365" s="2" t="str">
        <f t="shared" si="239"/>
        <v/>
      </c>
      <c r="F365" t="str">
        <f t="shared" ca="1" si="240"/>
        <v/>
      </c>
      <c r="I365" t="str">
        <f t="shared" si="241"/>
        <v/>
      </c>
    </row>
    <row r="366" spans="5:9" x14ac:dyDescent="0.25">
      <c r="E366" s="2" t="str">
        <f t="shared" si="239"/>
        <v/>
      </c>
      <c r="F366" t="str">
        <f t="shared" ca="1" si="240"/>
        <v/>
      </c>
      <c r="I366" t="str">
        <f t="shared" si="241"/>
        <v/>
      </c>
    </row>
    <row r="367" spans="5:9" x14ac:dyDescent="0.25">
      <c r="E367" s="2" t="str">
        <f t="shared" si="239"/>
        <v/>
      </c>
      <c r="F367" t="str">
        <f t="shared" ca="1" si="240"/>
        <v/>
      </c>
      <c r="I367" t="str">
        <f t="shared" si="241"/>
        <v/>
      </c>
    </row>
    <row r="368" spans="5:9" x14ac:dyDescent="0.25">
      <c r="E368" s="2" t="str">
        <f t="shared" si="239"/>
        <v/>
      </c>
      <c r="F368" t="str">
        <f t="shared" ca="1" si="240"/>
        <v/>
      </c>
      <c r="I368" t="str">
        <f t="shared" si="241"/>
        <v/>
      </c>
    </row>
    <row r="369" spans="5:9" x14ac:dyDescent="0.25">
      <c r="E369" s="2" t="str">
        <f t="shared" si="239"/>
        <v/>
      </c>
      <c r="F369" t="str">
        <f t="shared" ca="1" si="240"/>
        <v/>
      </c>
      <c r="I369" t="str">
        <f t="shared" si="241"/>
        <v/>
      </c>
    </row>
    <row r="370" spans="5:9" x14ac:dyDescent="0.25">
      <c r="E370" s="2" t="str">
        <f t="shared" si="239"/>
        <v/>
      </c>
      <c r="F370" t="str">
        <f t="shared" ca="1" si="240"/>
        <v/>
      </c>
      <c r="I370" t="str">
        <f t="shared" si="241"/>
        <v/>
      </c>
    </row>
    <row r="371" spans="5:9" x14ac:dyDescent="0.25">
      <c r="E371" s="2" t="str">
        <f t="shared" si="239"/>
        <v/>
      </c>
      <c r="F371" t="str">
        <f t="shared" ca="1" si="240"/>
        <v/>
      </c>
      <c r="I371" t="str">
        <f t="shared" si="241"/>
        <v/>
      </c>
    </row>
    <row r="372" spans="5:9" x14ac:dyDescent="0.25">
      <c r="E372" s="2" t="str">
        <f t="shared" si="239"/>
        <v/>
      </c>
      <c r="F372" t="str">
        <f t="shared" ca="1" si="240"/>
        <v/>
      </c>
      <c r="I372" t="str">
        <f t="shared" si="241"/>
        <v/>
      </c>
    </row>
    <row r="373" spans="5:9" x14ac:dyDescent="0.25">
      <c r="E373" s="2" t="str">
        <f t="shared" si="239"/>
        <v/>
      </c>
      <c r="F373" t="str">
        <f t="shared" ca="1" si="240"/>
        <v/>
      </c>
      <c r="I373" t="str">
        <f t="shared" si="241"/>
        <v/>
      </c>
    </row>
    <row r="374" spans="5:9" x14ac:dyDescent="0.25">
      <c r="E374" s="2" t="str">
        <f t="shared" si="239"/>
        <v/>
      </c>
      <c r="F374" t="str">
        <f t="shared" ca="1" si="240"/>
        <v/>
      </c>
      <c r="I374" t="str">
        <f t="shared" si="241"/>
        <v/>
      </c>
    </row>
    <row r="375" spans="5:9" x14ac:dyDescent="0.25">
      <c r="E375" s="2" t="str">
        <f t="shared" si="239"/>
        <v/>
      </c>
      <c r="F375" t="str">
        <f t="shared" ca="1" si="240"/>
        <v/>
      </c>
      <c r="I375" t="str">
        <f t="shared" si="241"/>
        <v/>
      </c>
    </row>
    <row r="376" spans="5:9" x14ac:dyDescent="0.25">
      <c r="E376" s="2" t="str">
        <f t="shared" si="239"/>
        <v/>
      </c>
      <c r="F376" t="str">
        <f t="shared" ca="1" si="240"/>
        <v/>
      </c>
      <c r="I376" t="str">
        <f t="shared" si="241"/>
        <v/>
      </c>
    </row>
    <row r="377" spans="5:9" x14ac:dyDescent="0.25">
      <c r="E377" s="2" t="str">
        <f t="shared" si="239"/>
        <v/>
      </c>
      <c r="F377" t="str">
        <f t="shared" ca="1" si="240"/>
        <v/>
      </c>
      <c r="I377" t="str">
        <f t="shared" si="241"/>
        <v/>
      </c>
    </row>
    <row r="378" spans="5:9" x14ac:dyDescent="0.25">
      <c r="E378" s="2" t="str">
        <f t="shared" si="239"/>
        <v/>
      </c>
      <c r="F378" t="str">
        <f t="shared" ca="1" si="240"/>
        <v/>
      </c>
      <c r="I378" t="str">
        <f t="shared" si="241"/>
        <v/>
      </c>
    </row>
    <row r="379" spans="5:9" x14ac:dyDescent="0.25">
      <c r="E379" s="2" t="str">
        <f t="shared" si="239"/>
        <v/>
      </c>
      <c r="F379" t="str">
        <f t="shared" ca="1" si="240"/>
        <v/>
      </c>
      <c r="I379" t="str">
        <f t="shared" si="241"/>
        <v/>
      </c>
    </row>
    <row r="380" spans="5:9" x14ac:dyDescent="0.25">
      <c r="E380" s="2" t="str">
        <f t="shared" si="239"/>
        <v/>
      </c>
      <c r="F380" t="str">
        <f t="shared" ca="1" si="240"/>
        <v/>
      </c>
      <c r="I380" t="str">
        <f t="shared" si="241"/>
        <v/>
      </c>
    </row>
    <row r="381" spans="5:9" x14ac:dyDescent="0.25">
      <c r="E381" s="2" t="str">
        <f t="shared" si="239"/>
        <v/>
      </c>
      <c r="F381" t="str">
        <f t="shared" ca="1" si="240"/>
        <v/>
      </c>
      <c r="I381" t="str">
        <f t="shared" si="241"/>
        <v/>
      </c>
    </row>
    <row r="382" spans="5:9" x14ac:dyDescent="0.25">
      <c r="E382" s="2" t="str">
        <f t="shared" si="239"/>
        <v/>
      </c>
      <c r="F382" t="str">
        <f t="shared" ca="1" si="240"/>
        <v/>
      </c>
      <c r="I382" t="str">
        <f t="shared" si="241"/>
        <v/>
      </c>
    </row>
    <row r="383" spans="5:9" x14ac:dyDescent="0.25">
      <c r="E383" s="2" t="str">
        <f t="shared" si="239"/>
        <v/>
      </c>
      <c r="F383" t="str">
        <f t="shared" ca="1" si="240"/>
        <v/>
      </c>
      <c r="I383" t="str">
        <f t="shared" si="241"/>
        <v/>
      </c>
    </row>
    <row r="384" spans="5:9" x14ac:dyDescent="0.25">
      <c r="E384" s="2" t="str">
        <f t="shared" si="239"/>
        <v/>
      </c>
      <c r="F384" t="str">
        <f t="shared" ca="1" si="240"/>
        <v/>
      </c>
      <c r="I384" t="str">
        <f t="shared" si="241"/>
        <v/>
      </c>
    </row>
    <row r="385" spans="5:9" x14ac:dyDescent="0.25">
      <c r="E385" s="2" t="str">
        <f t="shared" si="239"/>
        <v/>
      </c>
      <c r="F385" t="str">
        <f t="shared" ca="1" si="240"/>
        <v/>
      </c>
      <c r="I385" t="str">
        <f t="shared" si="241"/>
        <v/>
      </c>
    </row>
    <row r="386" spans="5:9" x14ac:dyDescent="0.25">
      <c r="E386" s="2" t="str">
        <f t="shared" ref="E386:E449" si="242">IF(C386&lt;&gt;"",D386+VLOOKUP(C386,$T$2:$U$6,2,FALSE),"")</f>
        <v/>
      </c>
      <c r="F386" t="str">
        <f t="shared" ref="F386:F449" ca="1" si="243">IF(E386&lt;&gt;"",E386-TODAY(),"")</f>
        <v/>
      </c>
      <c r="I386" t="str">
        <f t="shared" ref="I386:I449" si="244">IF(H386&lt;&gt;"",H386-G386,"")</f>
        <v/>
      </c>
    </row>
    <row r="387" spans="5:9" x14ac:dyDescent="0.25">
      <c r="E387" s="2" t="str">
        <f t="shared" si="242"/>
        <v/>
      </c>
      <c r="F387" t="str">
        <f t="shared" ca="1" si="243"/>
        <v/>
      </c>
      <c r="I387" t="str">
        <f t="shared" si="244"/>
        <v/>
      </c>
    </row>
    <row r="388" spans="5:9" x14ac:dyDescent="0.25">
      <c r="E388" s="2" t="str">
        <f t="shared" si="242"/>
        <v/>
      </c>
      <c r="F388" t="str">
        <f t="shared" ca="1" si="243"/>
        <v/>
      </c>
      <c r="I388" t="str">
        <f t="shared" si="244"/>
        <v/>
      </c>
    </row>
    <row r="389" spans="5:9" x14ac:dyDescent="0.25">
      <c r="E389" s="2" t="str">
        <f t="shared" si="242"/>
        <v/>
      </c>
      <c r="F389" t="str">
        <f t="shared" ca="1" si="243"/>
        <v/>
      </c>
      <c r="I389" t="str">
        <f t="shared" si="244"/>
        <v/>
      </c>
    </row>
    <row r="390" spans="5:9" x14ac:dyDescent="0.25">
      <c r="E390" s="2" t="str">
        <f t="shared" si="242"/>
        <v/>
      </c>
      <c r="F390" t="str">
        <f t="shared" ca="1" si="243"/>
        <v/>
      </c>
      <c r="I390" t="str">
        <f t="shared" si="244"/>
        <v/>
      </c>
    </row>
    <row r="391" spans="5:9" x14ac:dyDescent="0.25">
      <c r="E391" s="2" t="str">
        <f t="shared" si="242"/>
        <v/>
      </c>
      <c r="F391" t="str">
        <f t="shared" ca="1" si="243"/>
        <v/>
      </c>
      <c r="I391" t="str">
        <f t="shared" si="244"/>
        <v/>
      </c>
    </row>
    <row r="392" spans="5:9" x14ac:dyDescent="0.25">
      <c r="E392" s="2" t="str">
        <f t="shared" si="242"/>
        <v/>
      </c>
      <c r="F392" t="str">
        <f t="shared" ca="1" si="243"/>
        <v/>
      </c>
      <c r="I392" t="str">
        <f t="shared" si="244"/>
        <v/>
      </c>
    </row>
    <row r="393" spans="5:9" x14ac:dyDescent="0.25">
      <c r="E393" s="2" t="str">
        <f t="shared" si="242"/>
        <v/>
      </c>
      <c r="F393" t="str">
        <f t="shared" ca="1" si="243"/>
        <v/>
      </c>
      <c r="I393" t="str">
        <f t="shared" si="244"/>
        <v/>
      </c>
    </row>
    <row r="394" spans="5:9" x14ac:dyDescent="0.25">
      <c r="E394" s="2" t="str">
        <f t="shared" si="242"/>
        <v/>
      </c>
      <c r="F394" t="str">
        <f t="shared" ca="1" si="243"/>
        <v/>
      </c>
      <c r="I394" t="str">
        <f t="shared" si="244"/>
        <v/>
      </c>
    </row>
    <row r="395" spans="5:9" x14ac:dyDescent="0.25">
      <c r="E395" s="2" t="str">
        <f t="shared" si="242"/>
        <v/>
      </c>
      <c r="F395" t="str">
        <f t="shared" ca="1" si="243"/>
        <v/>
      </c>
      <c r="I395" t="str">
        <f t="shared" si="244"/>
        <v/>
      </c>
    </row>
    <row r="396" spans="5:9" x14ac:dyDescent="0.25">
      <c r="E396" s="2" t="str">
        <f t="shared" si="242"/>
        <v/>
      </c>
      <c r="F396" t="str">
        <f t="shared" ca="1" si="243"/>
        <v/>
      </c>
      <c r="I396" t="str">
        <f t="shared" si="244"/>
        <v/>
      </c>
    </row>
    <row r="397" spans="5:9" x14ac:dyDescent="0.25">
      <c r="E397" s="2" t="str">
        <f t="shared" si="242"/>
        <v/>
      </c>
      <c r="F397" t="str">
        <f t="shared" ca="1" si="243"/>
        <v/>
      </c>
      <c r="I397" t="str">
        <f t="shared" si="244"/>
        <v/>
      </c>
    </row>
    <row r="398" spans="5:9" x14ac:dyDescent="0.25">
      <c r="E398" s="2" t="str">
        <f t="shared" si="242"/>
        <v/>
      </c>
      <c r="F398" t="str">
        <f t="shared" ca="1" si="243"/>
        <v/>
      </c>
      <c r="I398" t="str">
        <f t="shared" si="244"/>
        <v/>
      </c>
    </row>
    <row r="399" spans="5:9" x14ac:dyDescent="0.25">
      <c r="E399" s="2" t="str">
        <f t="shared" si="242"/>
        <v/>
      </c>
      <c r="F399" t="str">
        <f t="shared" ca="1" si="243"/>
        <v/>
      </c>
      <c r="I399" t="str">
        <f t="shared" si="244"/>
        <v/>
      </c>
    </row>
    <row r="400" spans="5:9" x14ac:dyDescent="0.25">
      <c r="E400" s="2" t="str">
        <f t="shared" si="242"/>
        <v/>
      </c>
      <c r="F400" t="str">
        <f t="shared" ca="1" si="243"/>
        <v/>
      </c>
      <c r="I400" t="str">
        <f t="shared" si="244"/>
        <v/>
      </c>
    </row>
    <row r="401" spans="5:9" x14ac:dyDescent="0.25">
      <c r="E401" s="2" t="str">
        <f t="shared" si="242"/>
        <v/>
      </c>
      <c r="F401" t="str">
        <f t="shared" ca="1" si="243"/>
        <v/>
      </c>
      <c r="I401" t="str">
        <f t="shared" si="244"/>
        <v/>
      </c>
    </row>
    <row r="402" spans="5:9" x14ac:dyDescent="0.25">
      <c r="E402" s="2" t="str">
        <f t="shared" si="242"/>
        <v/>
      </c>
      <c r="F402" t="str">
        <f t="shared" ca="1" si="243"/>
        <v/>
      </c>
      <c r="I402" t="str">
        <f t="shared" si="244"/>
        <v/>
      </c>
    </row>
    <row r="403" spans="5:9" x14ac:dyDescent="0.25">
      <c r="E403" s="2" t="str">
        <f t="shared" si="242"/>
        <v/>
      </c>
      <c r="F403" t="str">
        <f t="shared" ca="1" si="243"/>
        <v/>
      </c>
      <c r="I403" t="str">
        <f t="shared" si="244"/>
        <v/>
      </c>
    </row>
    <row r="404" spans="5:9" x14ac:dyDescent="0.25">
      <c r="E404" s="2" t="str">
        <f t="shared" si="242"/>
        <v/>
      </c>
      <c r="F404" t="str">
        <f t="shared" ca="1" si="243"/>
        <v/>
      </c>
      <c r="I404" t="str">
        <f t="shared" si="244"/>
        <v/>
      </c>
    </row>
    <row r="405" spans="5:9" x14ac:dyDescent="0.25">
      <c r="E405" s="2" t="str">
        <f t="shared" si="242"/>
        <v/>
      </c>
      <c r="F405" t="str">
        <f t="shared" ca="1" si="243"/>
        <v/>
      </c>
      <c r="I405" t="str">
        <f t="shared" si="244"/>
        <v/>
      </c>
    </row>
    <row r="406" spans="5:9" x14ac:dyDescent="0.25">
      <c r="E406" s="2" t="str">
        <f t="shared" si="242"/>
        <v/>
      </c>
      <c r="F406" t="str">
        <f t="shared" ca="1" si="243"/>
        <v/>
      </c>
      <c r="I406" t="str">
        <f t="shared" si="244"/>
        <v/>
      </c>
    </row>
    <row r="407" spans="5:9" x14ac:dyDescent="0.25">
      <c r="E407" s="2" t="str">
        <f t="shared" si="242"/>
        <v/>
      </c>
      <c r="F407" t="str">
        <f t="shared" ca="1" si="243"/>
        <v/>
      </c>
      <c r="I407" t="str">
        <f t="shared" si="244"/>
        <v/>
      </c>
    </row>
    <row r="408" spans="5:9" x14ac:dyDescent="0.25">
      <c r="E408" s="2" t="str">
        <f t="shared" si="242"/>
        <v/>
      </c>
      <c r="F408" t="str">
        <f t="shared" ca="1" si="243"/>
        <v/>
      </c>
      <c r="I408" t="str">
        <f t="shared" si="244"/>
        <v/>
      </c>
    </row>
    <row r="409" spans="5:9" x14ac:dyDescent="0.25">
      <c r="E409" s="2" t="str">
        <f t="shared" si="242"/>
        <v/>
      </c>
      <c r="F409" t="str">
        <f t="shared" ca="1" si="243"/>
        <v/>
      </c>
      <c r="I409" t="str">
        <f t="shared" si="244"/>
        <v/>
      </c>
    </row>
    <row r="410" spans="5:9" x14ac:dyDescent="0.25">
      <c r="E410" s="2" t="str">
        <f t="shared" si="242"/>
        <v/>
      </c>
      <c r="F410" t="str">
        <f t="shared" ca="1" si="243"/>
        <v/>
      </c>
      <c r="I410" t="str">
        <f t="shared" si="244"/>
        <v/>
      </c>
    </row>
    <row r="411" spans="5:9" x14ac:dyDescent="0.25">
      <c r="E411" s="2" t="str">
        <f t="shared" si="242"/>
        <v/>
      </c>
      <c r="F411" t="str">
        <f t="shared" ca="1" si="243"/>
        <v/>
      </c>
      <c r="I411" t="str">
        <f t="shared" si="244"/>
        <v/>
      </c>
    </row>
    <row r="412" spans="5:9" x14ac:dyDescent="0.25">
      <c r="E412" s="2" t="str">
        <f t="shared" si="242"/>
        <v/>
      </c>
      <c r="F412" t="str">
        <f t="shared" ca="1" si="243"/>
        <v/>
      </c>
      <c r="I412" t="str">
        <f t="shared" si="244"/>
        <v/>
      </c>
    </row>
    <row r="413" spans="5:9" x14ac:dyDescent="0.25">
      <c r="E413" s="2" t="str">
        <f t="shared" si="242"/>
        <v/>
      </c>
      <c r="F413" t="str">
        <f t="shared" ca="1" si="243"/>
        <v/>
      </c>
      <c r="I413" t="str">
        <f t="shared" si="244"/>
        <v/>
      </c>
    </row>
    <row r="414" spans="5:9" x14ac:dyDescent="0.25">
      <c r="E414" s="2" t="str">
        <f t="shared" si="242"/>
        <v/>
      </c>
      <c r="F414" t="str">
        <f t="shared" ca="1" si="243"/>
        <v/>
      </c>
      <c r="I414" t="str">
        <f t="shared" si="244"/>
        <v/>
      </c>
    </row>
    <row r="415" spans="5:9" x14ac:dyDescent="0.25">
      <c r="E415" s="2" t="str">
        <f t="shared" si="242"/>
        <v/>
      </c>
      <c r="F415" t="str">
        <f t="shared" ca="1" si="243"/>
        <v/>
      </c>
      <c r="I415" t="str">
        <f t="shared" si="244"/>
        <v/>
      </c>
    </row>
    <row r="416" spans="5:9" x14ac:dyDescent="0.25">
      <c r="E416" s="2" t="str">
        <f t="shared" si="242"/>
        <v/>
      </c>
      <c r="F416" t="str">
        <f t="shared" ca="1" si="243"/>
        <v/>
      </c>
      <c r="I416" t="str">
        <f t="shared" si="244"/>
        <v/>
      </c>
    </row>
    <row r="417" spans="5:9" x14ac:dyDescent="0.25">
      <c r="E417" s="2" t="str">
        <f t="shared" si="242"/>
        <v/>
      </c>
      <c r="F417" t="str">
        <f t="shared" ca="1" si="243"/>
        <v/>
      </c>
      <c r="I417" t="str">
        <f t="shared" si="244"/>
        <v/>
      </c>
    </row>
    <row r="418" spans="5:9" x14ac:dyDescent="0.25">
      <c r="E418" s="2" t="str">
        <f t="shared" si="242"/>
        <v/>
      </c>
      <c r="F418" t="str">
        <f t="shared" ca="1" si="243"/>
        <v/>
      </c>
      <c r="I418" t="str">
        <f t="shared" si="244"/>
        <v/>
      </c>
    </row>
    <row r="419" spans="5:9" x14ac:dyDescent="0.25">
      <c r="E419" s="2" t="str">
        <f t="shared" si="242"/>
        <v/>
      </c>
      <c r="F419" t="str">
        <f t="shared" ca="1" si="243"/>
        <v/>
      </c>
      <c r="I419" t="str">
        <f t="shared" si="244"/>
        <v/>
      </c>
    </row>
    <row r="420" spans="5:9" x14ac:dyDescent="0.25">
      <c r="E420" s="2" t="str">
        <f t="shared" si="242"/>
        <v/>
      </c>
      <c r="F420" t="str">
        <f t="shared" ca="1" si="243"/>
        <v/>
      </c>
      <c r="I420" t="str">
        <f t="shared" si="244"/>
        <v/>
      </c>
    </row>
    <row r="421" spans="5:9" x14ac:dyDescent="0.25">
      <c r="E421" s="2" t="str">
        <f t="shared" si="242"/>
        <v/>
      </c>
      <c r="F421" t="str">
        <f t="shared" ca="1" si="243"/>
        <v/>
      </c>
      <c r="I421" t="str">
        <f t="shared" si="244"/>
        <v/>
      </c>
    </row>
    <row r="422" spans="5:9" x14ac:dyDescent="0.25">
      <c r="E422" s="2" t="str">
        <f t="shared" si="242"/>
        <v/>
      </c>
      <c r="F422" t="str">
        <f t="shared" ca="1" si="243"/>
        <v/>
      </c>
      <c r="I422" t="str">
        <f t="shared" si="244"/>
        <v/>
      </c>
    </row>
    <row r="423" spans="5:9" x14ac:dyDescent="0.25">
      <c r="E423" s="2" t="str">
        <f t="shared" si="242"/>
        <v/>
      </c>
      <c r="F423" t="str">
        <f t="shared" ca="1" si="243"/>
        <v/>
      </c>
      <c r="I423" t="str">
        <f t="shared" si="244"/>
        <v/>
      </c>
    </row>
    <row r="424" spans="5:9" x14ac:dyDescent="0.25">
      <c r="E424" s="2" t="str">
        <f t="shared" si="242"/>
        <v/>
      </c>
      <c r="F424" t="str">
        <f t="shared" ca="1" si="243"/>
        <v/>
      </c>
      <c r="I424" t="str">
        <f t="shared" si="244"/>
        <v/>
      </c>
    </row>
    <row r="425" spans="5:9" x14ac:dyDescent="0.25">
      <c r="E425" s="2" t="str">
        <f t="shared" si="242"/>
        <v/>
      </c>
      <c r="F425" t="str">
        <f t="shared" ca="1" si="243"/>
        <v/>
      </c>
      <c r="I425" t="str">
        <f t="shared" si="244"/>
        <v/>
      </c>
    </row>
    <row r="426" spans="5:9" x14ac:dyDescent="0.25">
      <c r="E426" s="2" t="str">
        <f t="shared" si="242"/>
        <v/>
      </c>
      <c r="F426" t="str">
        <f t="shared" ca="1" si="243"/>
        <v/>
      </c>
      <c r="I426" t="str">
        <f t="shared" si="244"/>
        <v/>
      </c>
    </row>
    <row r="427" spans="5:9" x14ac:dyDescent="0.25">
      <c r="E427" s="2" t="str">
        <f t="shared" si="242"/>
        <v/>
      </c>
      <c r="F427" t="str">
        <f t="shared" ca="1" si="243"/>
        <v/>
      </c>
      <c r="I427" t="str">
        <f t="shared" si="244"/>
        <v/>
      </c>
    </row>
    <row r="428" spans="5:9" x14ac:dyDescent="0.25">
      <c r="E428" s="2" t="str">
        <f t="shared" si="242"/>
        <v/>
      </c>
      <c r="F428" t="str">
        <f t="shared" ca="1" si="243"/>
        <v/>
      </c>
      <c r="I428" t="str">
        <f t="shared" si="244"/>
        <v/>
      </c>
    </row>
    <row r="429" spans="5:9" x14ac:dyDescent="0.25">
      <c r="E429" s="2" t="str">
        <f t="shared" si="242"/>
        <v/>
      </c>
      <c r="F429" t="str">
        <f t="shared" ca="1" si="243"/>
        <v/>
      </c>
      <c r="I429" t="str">
        <f t="shared" si="244"/>
        <v/>
      </c>
    </row>
    <row r="430" spans="5:9" x14ac:dyDescent="0.25">
      <c r="E430" s="2" t="str">
        <f t="shared" si="242"/>
        <v/>
      </c>
      <c r="F430" t="str">
        <f t="shared" ca="1" si="243"/>
        <v/>
      </c>
      <c r="I430" t="str">
        <f t="shared" si="244"/>
        <v/>
      </c>
    </row>
    <row r="431" spans="5:9" x14ac:dyDescent="0.25">
      <c r="E431" s="2" t="str">
        <f t="shared" si="242"/>
        <v/>
      </c>
      <c r="F431" t="str">
        <f t="shared" ca="1" si="243"/>
        <v/>
      </c>
      <c r="I431" t="str">
        <f t="shared" si="244"/>
        <v/>
      </c>
    </row>
    <row r="432" spans="5:9" x14ac:dyDescent="0.25">
      <c r="E432" s="2" t="str">
        <f t="shared" si="242"/>
        <v/>
      </c>
      <c r="F432" t="str">
        <f t="shared" ca="1" si="243"/>
        <v/>
      </c>
      <c r="I432" t="str">
        <f t="shared" si="244"/>
        <v/>
      </c>
    </row>
    <row r="433" spans="5:9" x14ac:dyDescent="0.25">
      <c r="E433" s="2" t="str">
        <f t="shared" si="242"/>
        <v/>
      </c>
      <c r="F433" t="str">
        <f t="shared" ca="1" si="243"/>
        <v/>
      </c>
      <c r="I433" t="str">
        <f t="shared" si="244"/>
        <v/>
      </c>
    </row>
    <row r="434" spans="5:9" x14ac:dyDescent="0.25">
      <c r="E434" s="2" t="str">
        <f t="shared" si="242"/>
        <v/>
      </c>
      <c r="F434" t="str">
        <f t="shared" ca="1" si="243"/>
        <v/>
      </c>
      <c r="I434" t="str">
        <f t="shared" si="244"/>
        <v/>
      </c>
    </row>
    <row r="435" spans="5:9" x14ac:dyDescent="0.25">
      <c r="E435" s="2" t="str">
        <f t="shared" si="242"/>
        <v/>
      </c>
      <c r="F435" t="str">
        <f t="shared" ca="1" si="243"/>
        <v/>
      </c>
      <c r="I435" t="str">
        <f t="shared" si="244"/>
        <v/>
      </c>
    </row>
    <row r="436" spans="5:9" x14ac:dyDescent="0.25">
      <c r="E436" s="2" t="str">
        <f t="shared" si="242"/>
        <v/>
      </c>
      <c r="F436" t="str">
        <f t="shared" ca="1" si="243"/>
        <v/>
      </c>
      <c r="I436" t="str">
        <f t="shared" si="244"/>
        <v/>
      </c>
    </row>
    <row r="437" spans="5:9" x14ac:dyDescent="0.25">
      <c r="E437" s="2" t="str">
        <f t="shared" si="242"/>
        <v/>
      </c>
      <c r="F437" t="str">
        <f t="shared" ca="1" si="243"/>
        <v/>
      </c>
      <c r="I437" t="str">
        <f t="shared" si="244"/>
        <v/>
      </c>
    </row>
    <row r="438" spans="5:9" x14ac:dyDescent="0.25">
      <c r="E438" s="2" t="str">
        <f t="shared" si="242"/>
        <v/>
      </c>
      <c r="F438" t="str">
        <f t="shared" ca="1" si="243"/>
        <v/>
      </c>
      <c r="I438" t="str">
        <f t="shared" si="244"/>
        <v/>
      </c>
    </row>
    <row r="439" spans="5:9" x14ac:dyDescent="0.25">
      <c r="E439" s="2" t="str">
        <f t="shared" si="242"/>
        <v/>
      </c>
      <c r="F439" t="str">
        <f t="shared" ca="1" si="243"/>
        <v/>
      </c>
      <c r="I439" t="str">
        <f t="shared" si="244"/>
        <v/>
      </c>
    </row>
    <row r="440" spans="5:9" x14ac:dyDescent="0.25">
      <c r="E440" s="2" t="str">
        <f t="shared" si="242"/>
        <v/>
      </c>
      <c r="F440" t="str">
        <f t="shared" ca="1" si="243"/>
        <v/>
      </c>
      <c r="I440" t="str">
        <f t="shared" si="244"/>
        <v/>
      </c>
    </row>
    <row r="441" spans="5:9" x14ac:dyDescent="0.25">
      <c r="E441" s="2" t="str">
        <f t="shared" si="242"/>
        <v/>
      </c>
      <c r="F441" t="str">
        <f t="shared" ca="1" si="243"/>
        <v/>
      </c>
      <c r="I441" t="str">
        <f t="shared" si="244"/>
        <v/>
      </c>
    </row>
    <row r="442" spans="5:9" x14ac:dyDescent="0.25">
      <c r="E442" s="2" t="str">
        <f t="shared" si="242"/>
        <v/>
      </c>
      <c r="F442" t="str">
        <f t="shared" ca="1" si="243"/>
        <v/>
      </c>
      <c r="I442" t="str">
        <f t="shared" si="244"/>
        <v/>
      </c>
    </row>
    <row r="443" spans="5:9" x14ac:dyDescent="0.25">
      <c r="E443" s="2" t="str">
        <f t="shared" si="242"/>
        <v/>
      </c>
      <c r="F443" t="str">
        <f t="shared" ca="1" si="243"/>
        <v/>
      </c>
      <c r="I443" t="str">
        <f t="shared" si="244"/>
        <v/>
      </c>
    </row>
    <row r="444" spans="5:9" x14ac:dyDescent="0.25">
      <c r="E444" s="2" t="str">
        <f t="shared" si="242"/>
        <v/>
      </c>
      <c r="F444" t="str">
        <f t="shared" ca="1" si="243"/>
        <v/>
      </c>
      <c r="I444" t="str">
        <f t="shared" si="244"/>
        <v/>
      </c>
    </row>
    <row r="445" spans="5:9" x14ac:dyDescent="0.25">
      <c r="E445" s="2" t="str">
        <f t="shared" si="242"/>
        <v/>
      </c>
      <c r="F445" t="str">
        <f t="shared" ca="1" si="243"/>
        <v/>
      </c>
      <c r="I445" t="str">
        <f t="shared" si="244"/>
        <v/>
      </c>
    </row>
    <row r="446" spans="5:9" x14ac:dyDescent="0.25">
      <c r="E446" s="2" t="str">
        <f t="shared" si="242"/>
        <v/>
      </c>
      <c r="F446" t="str">
        <f t="shared" ca="1" si="243"/>
        <v/>
      </c>
      <c r="I446" t="str">
        <f t="shared" si="244"/>
        <v/>
      </c>
    </row>
    <row r="447" spans="5:9" x14ac:dyDescent="0.25">
      <c r="E447" s="2" t="str">
        <f t="shared" si="242"/>
        <v/>
      </c>
      <c r="F447" t="str">
        <f t="shared" ca="1" si="243"/>
        <v/>
      </c>
      <c r="I447" t="str">
        <f t="shared" si="244"/>
        <v/>
      </c>
    </row>
    <row r="448" spans="5:9" x14ac:dyDescent="0.25">
      <c r="E448" s="2" t="str">
        <f t="shared" si="242"/>
        <v/>
      </c>
      <c r="F448" t="str">
        <f t="shared" ca="1" si="243"/>
        <v/>
      </c>
      <c r="I448" t="str">
        <f t="shared" si="244"/>
        <v/>
      </c>
    </row>
    <row r="449" spans="5:9" x14ac:dyDescent="0.25">
      <c r="E449" s="2" t="str">
        <f t="shared" si="242"/>
        <v/>
      </c>
      <c r="F449" t="str">
        <f t="shared" ca="1" si="243"/>
        <v/>
      </c>
      <c r="I449" t="str">
        <f t="shared" si="244"/>
        <v/>
      </c>
    </row>
    <row r="450" spans="5:9" x14ac:dyDescent="0.25">
      <c r="E450" s="2" t="str">
        <f t="shared" ref="E450:E513" si="245">IF(C450&lt;&gt;"",D450+VLOOKUP(C450,$T$2:$U$6,2,FALSE),"")</f>
        <v/>
      </c>
      <c r="F450" t="str">
        <f t="shared" ref="F450:F513" ca="1" si="246">IF(E450&lt;&gt;"",E450-TODAY(),"")</f>
        <v/>
      </c>
      <c r="I450" t="str">
        <f t="shared" ref="I450:I513" si="247">IF(H450&lt;&gt;"",H450-G450,"")</f>
        <v/>
      </c>
    </row>
    <row r="451" spans="5:9" x14ac:dyDescent="0.25">
      <c r="E451" s="2" t="str">
        <f t="shared" si="245"/>
        <v/>
      </c>
      <c r="F451" t="str">
        <f t="shared" ca="1" si="246"/>
        <v/>
      </c>
      <c r="I451" t="str">
        <f t="shared" si="247"/>
        <v/>
      </c>
    </row>
    <row r="452" spans="5:9" x14ac:dyDescent="0.25">
      <c r="E452" s="2" t="str">
        <f t="shared" si="245"/>
        <v/>
      </c>
      <c r="F452" t="str">
        <f t="shared" ca="1" si="246"/>
        <v/>
      </c>
      <c r="I452" t="str">
        <f t="shared" si="247"/>
        <v/>
      </c>
    </row>
    <row r="453" spans="5:9" x14ac:dyDescent="0.25">
      <c r="E453" s="2" t="str">
        <f t="shared" si="245"/>
        <v/>
      </c>
      <c r="F453" t="str">
        <f t="shared" ca="1" si="246"/>
        <v/>
      </c>
      <c r="I453" t="str">
        <f t="shared" si="247"/>
        <v/>
      </c>
    </row>
    <row r="454" spans="5:9" x14ac:dyDescent="0.25">
      <c r="E454" s="2" t="str">
        <f t="shared" si="245"/>
        <v/>
      </c>
      <c r="F454" t="str">
        <f t="shared" ca="1" si="246"/>
        <v/>
      </c>
      <c r="I454" t="str">
        <f t="shared" si="247"/>
        <v/>
      </c>
    </row>
    <row r="455" spans="5:9" x14ac:dyDescent="0.25">
      <c r="E455" s="2" t="str">
        <f t="shared" si="245"/>
        <v/>
      </c>
      <c r="F455" t="str">
        <f t="shared" ca="1" si="246"/>
        <v/>
      </c>
      <c r="I455" t="str">
        <f t="shared" si="247"/>
        <v/>
      </c>
    </row>
    <row r="456" spans="5:9" x14ac:dyDescent="0.25">
      <c r="E456" s="2" t="str">
        <f t="shared" si="245"/>
        <v/>
      </c>
      <c r="F456" t="str">
        <f t="shared" ca="1" si="246"/>
        <v/>
      </c>
      <c r="I456" t="str">
        <f t="shared" si="247"/>
        <v/>
      </c>
    </row>
    <row r="457" spans="5:9" x14ac:dyDescent="0.25">
      <c r="E457" s="2" t="str">
        <f t="shared" si="245"/>
        <v/>
      </c>
      <c r="F457" t="str">
        <f t="shared" ca="1" si="246"/>
        <v/>
      </c>
      <c r="I457" t="str">
        <f t="shared" si="247"/>
        <v/>
      </c>
    </row>
    <row r="458" spans="5:9" x14ac:dyDescent="0.25">
      <c r="E458" s="2" t="str">
        <f t="shared" si="245"/>
        <v/>
      </c>
      <c r="F458" t="str">
        <f t="shared" ca="1" si="246"/>
        <v/>
      </c>
      <c r="I458" t="str">
        <f t="shared" si="247"/>
        <v/>
      </c>
    </row>
    <row r="459" spans="5:9" x14ac:dyDescent="0.25">
      <c r="E459" s="2" t="str">
        <f t="shared" si="245"/>
        <v/>
      </c>
      <c r="F459" t="str">
        <f t="shared" ca="1" si="246"/>
        <v/>
      </c>
      <c r="I459" t="str">
        <f t="shared" si="247"/>
        <v/>
      </c>
    </row>
    <row r="460" spans="5:9" x14ac:dyDescent="0.25">
      <c r="E460" s="2" t="str">
        <f t="shared" si="245"/>
        <v/>
      </c>
      <c r="F460" t="str">
        <f t="shared" ca="1" si="246"/>
        <v/>
      </c>
      <c r="I460" t="str">
        <f t="shared" si="247"/>
        <v/>
      </c>
    </row>
    <row r="461" spans="5:9" x14ac:dyDescent="0.25">
      <c r="E461" s="2" t="str">
        <f t="shared" si="245"/>
        <v/>
      </c>
      <c r="F461" t="str">
        <f t="shared" ca="1" si="246"/>
        <v/>
      </c>
      <c r="I461" t="str">
        <f t="shared" si="247"/>
        <v/>
      </c>
    </row>
    <row r="462" spans="5:9" x14ac:dyDescent="0.25">
      <c r="E462" s="2" t="str">
        <f t="shared" si="245"/>
        <v/>
      </c>
      <c r="F462" t="str">
        <f t="shared" ca="1" si="246"/>
        <v/>
      </c>
      <c r="I462" t="str">
        <f t="shared" si="247"/>
        <v/>
      </c>
    </row>
    <row r="463" spans="5:9" x14ac:dyDescent="0.25">
      <c r="E463" s="2" t="str">
        <f t="shared" si="245"/>
        <v/>
      </c>
      <c r="F463" t="str">
        <f t="shared" ca="1" si="246"/>
        <v/>
      </c>
      <c r="I463" t="str">
        <f t="shared" si="247"/>
        <v/>
      </c>
    </row>
    <row r="464" spans="5:9" x14ac:dyDescent="0.25">
      <c r="E464" s="2" t="str">
        <f t="shared" si="245"/>
        <v/>
      </c>
      <c r="F464" t="str">
        <f t="shared" ca="1" si="246"/>
        <v/>
      </c>
      <c r="I464" t="str">
        <f t="shared" si="247"/>
        <v/>
      </c>
    </row>
    <row r="465" spans="5:9" x14ac:dyDescent="0.25">
      <c r="E465" s="2" t="str">
        <f t="shared" si="245"/>
        <v/>
      </c>
      <c r="F465" t="str">
        <f t="shared" ca="1" si="246"/>
        <v/>
      </c>
      <c r="I465" t="str">
        <f t="shared" si="247"/>
        <v/>
      </c>
    </row>
    <row r="466" spans="5:9" x14ac:dyDescent="0.25">
      <c r="E466" s="2" t="str">
        <f t="shared" si="245"/>
        <v/>
      </c>
      <c r="F466" t="str">
        <f t="shared" ca="1" si="246"/>
        <v/>
      </c>
      <c r="I466" t="str">
        <f t="shared" si="247"/>
        <v/>
      </c>
    </row>
    <row r="467" spans="5:9" x14ac:dyDescent="0.25">
      <c r="E467" s="2" t="str">
        <f t="shared" si="245"/>
        <v/>
      </c>
      <c r="F467" t="str">
        <f t="shared" ca="1" si="246"/>
        <v/>
      </c>
      <c r="I467" t="str">
        <f t="shared" si="247"/>
        <v/>
      </c>
    </row>
    <row r="468" spans="5:9" x14ac:dyDescent="0.25">
      <c r="E468" s="2" t="str">
        <f t="shared" si="245"/>
        <v/>
      </c>
      <c r="F468" t="str">
        <f t="shared" ca="1" si="246"/>
        <v/>
      </c>
      <c r="I468" t="str">
        <f t="shared" si="247"/>
        <v/>
      </c>
    </row>
    <row r="469" spans="5:9" x14ac:dyDescent="0.25">
      <c r="E469" s="2" t="str">
        <f t="shared" si="245"/>
        <v/>
      </c>
      <c r="F469" t="str">
        <f t="shared" ca="1" si="246"/>
        <v/>
      </c>
      <c r="I469" t="str">
        <f t="shared" si="247"/>
        <v/>
      </c>
    </row>
    <row r="470" spans="5:9" x14ac:dyDescent="0.25">
      <c r="E470" s="2" t="str">
        <f t="shared" si="245"/>
        <v/>
      </c>
      <c r="F470" t="str">
        <f t="shared" ca="1" si="246"/>
        <v/>
      </c>
      <c r="I470" t="str">
        <f t="shared" si="247"/>
        <v/>
      </c>
    </row>
    <row r="471" spans="5:9" x14ac:dyDescent="0.25">
      <c r="E471" s="2" t="str">
        <f t="shared" si="245"/>
        <v/>
      </c>
      <c r="F471" t="str">
        <f t="shared" ca="1" si="246"/>
        <v/>
      </c>
      <c r="I471" t="str">
        <f t="shared" si="247"/>
        <v/>
      </c>
    </row>
    <row r="472" spans="5:9" x14ac:dyDescent="0.25">
      <c r="E472" s="2" t="str">
        <f t="shared" si="245"/>
        <v/>
      </c>
      <c r="F472" t="str">
        <f t="shared" ca="1" si="246"/>
        <v/>
      </c>
      <c r="I472" t="str">
        <f t="shared" si="247"/>
        <v/>
      </c>
    </row>
    <row r="473" spans="5:9" x14ac:dyDescent="0.25">
      <c r="E473" s="2" t="str">
        <f t="shared" si="245"/>
        <v/>
      </c>
      <c r="F473" t="str">
        <f t="shared" ca="1" si="246"/>
        <v/>
      </c>
      <c r="I473" t="str">
        <f t="shared" si="247"/>
        <v/>
      </c>
    </row>
    <row r="474" spans="5:9" x14ac:dyDescent="0.25">
      <c r="E474" s="2" t="str">
        <f t="shared" si="245"/>
        <v/>
      </c>
      <c r="F474" t="str">
        <f t="shared" ca="1" si="246"/>
        <v/>
      </c>
      <c r="I474" t="str">
        <f t="shared" si="247"/>
        <v/>
      </c>
    </row>
    <row r="475" spans="5:9" x14ac:dyDescent="0.25">
      <c r="E475" s="2" t="str">
        <f t="shared" si="245"/>
        <v/>
      </c>
      <c r="F475" t="str">
        <f t="shared" ca="1" si="246"/>
        <v/>
      </c>
      <c r="I475" t="str">
        <f t="shared" si="247"/>
        <v/>
      </c>
    </row>
    <row r="476" spans="5:9" x14ac:dyDescent="0.25">
      <c r="E476" s="2" t="str">
        <f t="shared" si="245"/>
        <v/>
      </c>
      <c r="F476" t="str">
        <f t="shared" ca="1" si="246"/>
        <v/>
      </c>
      <c r="I476" t="str">
        <f t="shared" si="247"/>
        <v/>
      </c>
    </row>
    <row r="477" spans="5:9" x14ac:dyDescent="0.25">
      <c r="E477" s="2" t="str">
        <f t="shared" si="245"/>
        <v/>
      </c>
      <c r="F477" t="str">
        <f t="shared" ca="1" si="246"/>
        <v/>
      </c>
      <c r="I477" t="str">
        <f t="shared" si="247"/>
        <v/>
      </c>
    </row>
    <row r="478" spans="5:9" x14ac:dyDescent="0.25">
      <c r="E478" s="2" t="str">
        <f t="shared" si="245"/>
        <v/>
      </c>
      <c r="F478" t="str">
        <f t="shared" ca="1" si="246"/>
        <v/>
      </c>
      <c r="I478" t="str">
        <f t="shared" si="247"/>
        <v/>
      </c>
    </row>
    <row r="479" spans="5:9" x14ac:dyDescent="0.25">
      <c r="E479" s="2" t="str">
        <f t="shared" si="245"/>
        <v/>
      </c>
      <c r="F479" t="str">
        <f t="shared" ca="1" si="246"/>
        <v/>
      </c>
      <c r="I479" t="str">
        <f t="shared" si="247"/>
        <v/>
      </c>
    </row>
    <row r="480" spans="5:9" x14ac:dyDescent="0.25">
      <c r="E480" s="2" t="str">
        <f t="shared" si="245"/>
        <v/>
      </c>
      <c r="F480" t="str">
        <f t="shared" ca="1" si="246"/>
        <v/>
      </c>
      <c r="I480" t="str">
        <f t="shared" si="247"/>
        <v/>
      </c>
    </row>
    <row r="481" spans="5:9" x14ac:dyDescent="0.25">
      <c r="E481" s="2" t="str">
        <f t="shared" si="245"/>
        <v/>
      </c>
      <c r="F481" t="str">
        <f t="shared" ca="1" si="246"/>
        <v/>
      </c>
      <c r="I481" t="str">
        <f t="shared" si="247"/>
        <v/>
      </c>
    </row>
    <row r="482" spans="5:9" x14ac:dyDescent="0.25">
      <c r="E482" s="2" t="str">
        <f t="shared" si="245"/>
        <v/>
      </c>
      <c r="F482" t="str">
        <f t="shared" ca="1" si="246"/>
        <v/>
      </c>
      <c r="I482" t="str">
        <f t="shared" si="247"/>
        <v/>
      </c>
    </row>
    <row r="483" spans="5:9" x14ac:dyDescent="0.25">
      <c r="E483" s="2" t="str">
        <f t="shared" si="245"/>
        <v/>
      </c>
      <c r="F483" t="str">
        <f t="shared" ca="1" si="246"/>
        <v/>
      </c>
      <c r="I483" t="str">
        <f t="shared" si="247"/>
        <v/>
      </c>
    </row>
    <row r="484" spans="5:9" x14ac:dyDescent="0.25">
      <c r="E484" s="2" t="str">
        <f t="shared" si="245"/>
        <v/>
      </c>
      <c r="F484" t="str">
        <f t="shared" ca="1" si="246"/>
        <v/>
      </c>
      <c r="I484" t="str">
        <f t="shared" si="247"/>
        <v/>
      </c>
    </row>
    <row r="485" spans="5:9" x14ac:dyDescent="0.25">
      <c r="E485" s="2" t="str">
        <f t="shared" si="245"/>
        <v/>
      </c>
      <c r="F485" t="str">
        <f t="shared" ca="1" si="246"/>
        <v/>
      </c>
      <c r="I485" t="str">
        <f t="shared" si="247"/>
        <v/>
      </c>
    </row>
    <row r="486" spans="5:9" x14ac:dyDescent="0.25">
      <c r="E486" s="2" t="str">
        <f t="shared" si="245"/>
        <v/>
      </c>
      <c r="F486" t="str">
        <f t="shared" ca="1" si="246"/>
        <v/>
      </c>
      <c r="I486" t="str">
        <f t="shared" si="247"/>
        <v/>
      </c>
    </row>
    <row r="487" spans="5:9" x14ac:dyDescent="0.25">
      <c r="E487" s="2" t="str">
        <f t="shared" si="245"/>
        <v/>
      </c>
      <c r="F487" t="str">
        <f t="shared" ca="1" si="246"/>
        <v/>
      </c>
      <c r="I487" t="str">
        <f t="shared" si="247"/>
        <v/>
      </c>
    </row>
    <row r="488" spans="5:9" x14ac:dyDescent="0.25">
      <c r="E488" s="2" t="str">
        <f t="shared" si="245"/>
        <v/>
      </c>
      <c r="F488" t="str">
        <f t="shared" ca="1" si="246"/>
        <v/>
      </c>
      <c r="I488" t="str">
        <f t="shared" si="247"/>
        <v/>
      </c>
    </row>
    <row r="489" spans="5:9" x14ac:dyDescent="0.25">
      <c r="E489" s="2" t="str">
        <f t="shared" si="245"/>
        <v/>
      </c>
      <c r="F489" t="str">
        <f t="shared" ca="1" si="246"/>
        <v/>
      </c>
      <c r="I489" t="str">
        <f t="shared" si="247"/>
        <v/>
      </c>
    </row>
    <row r="490" spans="5:9" x14ac:dyDescent="0.25">
      <c r="E490" s="2" t="str">
        <f t="shared" si="245"/>
        <v/>
      </c>
      <c r="F490" t="str">
        <f t="shared" ca="1" si="246"/>
        <v/>
      </c>
      <c r="I490" t="str">
        <f t="shared" si="247"/>
        <v/>
      </c>
    </row>
    <row r="491" spans="5:9" x14ac:dyDescent="0.25">
      <c r="E491" s="2" t="str">
        <f t="shared" si="245"/>
        <v/>
      </c>
      <c r="F491" t="str">
        <f t="shared" ca="1" si="246"/>
        <v/>
      </c>
      <c r="I491" t="str">
        <f t="shared" si="247"/>
        <v/>
      </c>
    </row>
    <row r="492" spans="5:9" x14ac:dyDescent="0.25">
      <c r="E492" s="2" t="str">
        <f t="shared" si="245"/>
        <v/>
      </c>
      <c r="F492" t="str">
        <f t="shared" ca="1" si="246"/>
        <v/>
      </c>
      <c r="I492" t="str">
        <f t="shared" si="247"/>
        <v/>
      </c>
    </row>
    <row r="493" spans="5:9" x14ac:dyDescent="0.25">
      <c r="E493" s="2" t="str">
        <f t="shared" si="245"/>
        <v/>
      </c>
      <c r="F493" t="str">
        <f t="shared" ca="1" si="246"/>
        <v/>
      </c>
      <c r="I493" t="str">
        <f t="shared" si="247"/>
        <v/>
      </c>
    </row>
    <row r="494" spans="5:9" x14ac:dyDescent="0.25">
      <c r="E494" s="2" t="str">
        <f t="shared" si="245"/>
        <v/>
      </c>
      <c r="F494" t="str">
        <f t="shared" ca="1" si="246"/>
        <v/>
      </c>
      <c r="I494" t="str">
        <f t="shared" si="247"/>
        <v/>
      </c>
    </row>
    <row r="495" spans="5:9" x14ac:dyDescent="0.25">
      <c r="E495" s="2" t="str">
        <f t="shared" si="245"/>
        <v/>
      </c>
      <c r="F495" t="str">
        <f t="shared" ca="1" si="246"/>
        <v/>
      </c>
      <c r="I495" t="str">
        <f t="shared" si="247"/>
        <v/>
      </c>
    </row>
    <row r="496" spans="5:9" x14ac:dyDescent="0.25">
      <c r="E496" s="2" t="str">
        <f t="shared" si="245"/>
        <v/>
      </c>
      <c r="F496" t="str">
        <f t="shared" ca="1" si="246"/>
        <v/>
      </c>
      <c r="I496" t="str">
        <f t="shared" si="247"/>
        <v/>
      </c>
    </row>
    <row r="497" spans="5:9" x14ac:dyDescent="0.25">
      <c r="E497" s="2" t="str">
        <f t="shared" si="245"/>
        <v/>
      </c>
      <c r="F497" t="str">
        <f t="shared" ca="1" si="246"/>
        <v/>
      </c>
      <c r="I497" t="str">
        <f t="shared" si="247"/>
        <v/>
      </c>
    </row>
    <row r="498" spans="5:9" x14ac:dyDescent="0.25">
      <c r="E498" s="2" t="str">
        <f t="shared" si="245"/>
        <v/>
      </c>
      <c r="F498" t="str">
        <f t="shared" ca="1" si="246"/>
        <v/>
      </c>
      <c r="I498" t="str">
        <f t="shared" si="247"/>
        <v/>
      </c>
    </row>
    <row r="499" spans="5:9" x14ac:dyDescent="0.25">
      <c r="E499" s="2" t="str">
        <f t="shared" si="245"/>
        <v/>
      </c>
      <c r="F499" t="str">
        <f t="shared" ca="1" si="246"/>
        <v/>
      </c>
      <c r="I499" t="str">
        <f t="shared" si="247"/>
        <v/>
      </c>
    </row>
    <row r="500" spans="5:9" x14ac:dyDescent="0.25">
      <c r="E500" s="2" t="str">
        <f t="shared" si="245"/>
        <v/>
      </c>
      <c r="F500" t="str">
        <f t="shared" ca="1" si="246"/>
        <v/>
      </c>
      <c r="I500" t="str">
        <f t="shared" si="247"/>
        <v/>
      </c>
    </row>
    <row r="501" spans="5:9" x14ac:dyDescent="0.25">
      <c r="E501" s="2" t="str">
        <f t="shared" si="245"/>
        <v/>
      </c>
      <c r="F501" t="str">
        <f t="shared" ca="1" si="246"/>
        <v/>
      </c>
      <c r="I501" t="str">
        <f t="shared" si="247"/>
        <v/>
      </c>
    </row>
    <row r="502" spans="5:9" x14ac:dyDescent="0.25">
      <c r="E502" s="2" t="str">
        <f t="shared" si="245"/>
        <v/>
      </c>
      <c r="F502" t="str">
        <f t="shared" ca="1" si="246"/>
        <v/>
      </c>
      <c r="I502" t="str">
        <f t="shared" si="247"/>
        <v/>
      </c>
    </row>
    <row r="503" spans="5:9" x14ac:dyDescent="0.25">
      <c r="E503" s="2" t="str">
        <f t="shared" si="245"/>
        <v/>
      </c>
      <c r="F503" t="str">
        <f t="shared" ca="1" si="246"/>
        <v/>
      </c>
      <c r="I503" t="str">
        <f t="shared" si="247"/>
        <v/>
      </c>
    </row>
    <row r="504" spans="5:9" x14ac:dyDescent="0.25">
      <c r="E504" s="2" t="str">
        <f t="shared" si="245"/>
        <v/>
      </c>
      <c r="F504" t="str">
        <f t="shared" ca="1" si="246"/>
        <v/>
      </c>
      <c r="I504" t="str">
        <f t="shared" si="247"/>
        <v/>
      </c>
    </row>
    <row r="505" spans="5:9" x14ac:dyDescent="0.25">
      <c r="E505" s="2" t="str">
        <f t="shared" si="245"/>
        <v/>
      </c>
      <c r="F505" t="str">
        <f t="shared" ca="1" si="246"/>
        <v/>
      </c>
      <c r="I505" t="str">
        <f t="shared" si="247"/>
        <v/>
      </c>
    </row>
    <row r="506" spans="5:9" x14ac:dyDescent="0.25">
      <c r="E506" s="2" t="str">
        <f t="shared" si="245"/>
        <v/>
      </c>
      <c r="F506" t="str">
        <f t="shared" ca="1" si="246"/>
        <v/>
      </c>
      <c r="I506" t="str">
        <f t="shared" si="247"/>
        <v/>
      </c>
    </row>
    <row r="507" spans="5:9" x14ac:dyDescent="0.25">
      <c r="E507" s="2" t="str">
        <f t="shared" si="245"/>
        <v/>
      </c>
      <c r="F507" t="str">
        <f t="shared" ca="1" si="246"/>
        <v/>
      </c>
      <c r="I507" t="str">
        <f t="shared" si="247"/>
        <v/>
      </c>
    </row>
    <row r="508" spans="5:9" x14ac:dyDescent="0.25">
      <c r="E508" s="2" t="str">
        <f t="shared" si="245"/>
        <v/>
      </c>
      <c r="F508" t="str">
        <f t="shared" ca="1" si="246"/>
        <v/>
      </c>
      <c r="I508" t="str">
        <f t="shared" si="247"/>
        <v/>
      </c>
    </row>
    <row r="509" spans="5:9" x14ac:dyDescent="0.25">
      <c r="E509" s="2" t="str">
        <f t="shared" si="245"/>
        <v/>
      </c>
      <c r="F509" t="str">
        <f t="shared" ca="1" si="246"/>
        <v/>
      </c>
      <c r="I509" t="str">
        <f t="shared" si="247"/>
        <v/>
      </c>
    </row>
    <row r="510" spans="5:9" x14ac:dyDescent="0.25">
      <c r="E510" s="2" t="str">
        <f t="shared" si="245"/>
        <v/>
      </c>
      <c r="F510" t="str">
        <f t="shared" ca="1" si="246"/>
        <v/>
      </c>
      <c r="I510" t="str">
        <f t="shared" si="247"/>
        <v/>
      </c>
    </row>
    <row r="511" spans="5:9" x14ac:dyDescent="0.25">
      <c r="E511" s="2" t="str">
        <f t="shared" si="245"/>
        <v/>
      </c>
      <c r="F511" t="str">
        <f t="shared" ca="1" si="246"/>
        <v/>
      </c>
      <c r="I511" t="str">
        <f t="shared" si="247"/>
        <v/>
      </c>
    </row>
    <row r="512" spans="5:9" x14ac:dyDescent="0.25">
      <c r="E512" s="2" t="str">
        <f t="shared" si="245"/>
        <v/>
      </c>
      <c r="F512" t="str">
        <f t="shared" ca="1" si="246"/>
        <v/>
      </c>
      <c r="I512" t="str">
        <f t="shared" si="247"/>
        <v/>
      </c>
    </row>
    <row r="513" spans="5:9" x14ac:dyDescent="0.25">
      <c r="E513" s="2" t="str">
        <f t="shared" si="245"/>
        <v/>
      </c>
      <c r="F513" t="str">
        <f t="shared" ca="1" si="246"/>
        <v/>
      </c>
      <c r="I513" t="str">
        <f t="shared" si="247"/>
        <v/>
      </c>
    </row>
    <row r="514" spans="5:9" x14ac:dyDescent="0.25">
      <c r="E514" s="2" t="str">
        <f t="shared" ref="E514:E577" si="248">IF(C514&lt;&gt;"",D514+VLOOKUP(C514,$T$2:$U$6,2,FALSE),"")</f>
        <v/>
      </c>
      <c r="F514" t="str">
        <f t="shared" ref="F514:F577" ca="1" si="249">IF(E514&lt;&gt;"",E514-TODAY(),"")</f>
        <v/>
      </c>
      <c r="I514" t="str">
        <f t="shared" ref="I514:I577" si="250">IF(H514&lt;&gt;"",H514-G514,"")</f>
        <v/>
      </c>
    </row>
    <row r="515" spans="5:9" x14ac:dyDescent="0.25">
      <c r="E515" s="2" t="str">
        <f t="shared" si="248"/>
        <v/>
      </c>
      <c r="F515" t="str">
        <f t="shared" ca="1" si="249"/>
        <v/>
      </c>
      <c r="I515" t="str">
        <f t="shared" si="250"/>
        <v/>
      </c>
    </row>
    <row r="516" spans="5:9" x14ac:dyDescent="0.25">
      <c r="E516" s="2" t="str">
        <f t="shared" si="248"/>
        <v/>
      </c>
      <c r="F516" t="str">
        <f t="shared" ca="1" si="249"/>
        <v/>
      </c>
      <c r="I516" t="str">
        <f t="shared" si="250"/>
        <v/>
      </c>
    </row>
    <row r="517" spans="5:9" x14ac:dyDescent="0.25">
      <c r="E517" s="2" t="str">
        <f t="shared" si="248"/>
        <v/>
      </c>
      <c r="F517" t="str">
        <f t="shared" ca="1" si="249"/>
        <v/>
      </c>
      <c r="I517" t="str">
        <f t="shared" si="250"/>
        <v/>
      </c>
    </row>
    <row r="518" spans="5:9" x14ac:dyDescent="0.25">
      <c r="E518" s="2" t="str">
        <f t="shared" si="248"/>
        <v/>
      </c>
      <c r="F518" t="str">
        <f t="shared" ca="1" si="249"/>
        <v/>
      </c>
      <c r="I518" t="str">
        <f t="shared" si="250"/>
        <v/>
      </c>
    </row>
    <row r="519" spans="5:9" x14ac:dyDescent="0.25">
      <c r="E519" s="2" t="str">
        <f t="shared" si="248"/>
        <v/>
      </c>
      <c r="F519" t="str">
        <f t="shared" ca="1" si="249"/>
        <v/>
      </c>
      <c r="I519" t="str">
        <f t="shared" si="250"/>
        <v/>
      </c>
    </row>
    <row r="520" spans="5:9" x14ac:dyDescent="0.25">
      <c r="E520" s="2" t="str">
        <f t="shared" si="248"/>
        <v/>
      </c>
      <c r="F520" t="str">
        <f t="shared" ca="1" si="249"/>
        <v/>
      </c>
      <c r="I520" t="str">
        <f t="shared" si="250"/>
        <v/>
      </c>
    </row>
    <row r="521" spans="5:9" x14ac:dyDescent="0.25">
      <c r="E521" s="2" t="str">
        <f t="shared" si="248"/>
        <v/>
      </c>
      <c r="F521" t="str">
        <f t="shared" ca="1" si="249"/>
        <v/>
      </c>
      <c r="I521" t="str">
        <f t="shared" si="250"/>
        <v/>
      </c>
    </row>
    <row r="522" spans="5:9" x14ac:dyDescent="0.25">
      <c r="E522" s="2" t="str">
        <f t="shared" si="248"/>
        <v/>
      </c>
      <c r="F522" t="str">
        <f t="shared" ca="1" si="249"/>
        <v/>
      </c>
      <c r="I522" t="str">
        <f t="shared" si="250"/>
        <v/>
      </c>
    </row>
    <row r="523" spans="5:9" x14ac:dyDescent="0.25">
      <c r="E523" s="2" t="str">
        <f t="shared" si="248"/>
        <v/>
      </c>
      <c r="F523" t="str">
        <f t="shared" ca="1" si="249"/>
        <v/>
      </c>
      <c r="I523" t="str">
        <f t="shared" si="250"/>
        <v/>
      </c>
    </row>
    <row r="524" spans="5:9" x14ac:dyDescent="0.25">
      <c r="E524" s="2" t="str">
        <f t="shared" si="248"/>
        <v/>
      </c>
      <c r="F524" t="str">
        <f t="shared" ca="1" si="249"/>
        <v/>
      </c>
      <c r="I524" t="str">
        <f t="shared" si="250"/>
        <v/>
      </c>
    </row>
    <row r="525" spans="5:9" x14ac:dyDescent="0.25">
      <c r="E525" s="2" t="str">
        <f t="shared" si="248"/>
        <v/>
      </c>
      <c r="F525" t="str">
        <f t="shared" ca="1" si="249"/>
        <v/>
      </c>
      <c r="I525" t="str">
        <f t="shared" si="250"/>
        <v/>
      </c>
    </row>
    <row r="526" spans="5:9" x14ac:dyDescent="0.25">
      <c r="E526" s="2" t="str">
        <f t="shared" si="248"/>
        <v/>
      </c>
      <c r="F526" t="str">
        <f t="shared" ca="1" si="249"/>
        <v/>
      </c>
      <c r="I526" t="str">
        <f t="shared" si="250"/>
        <v/>
      </c>
    </row>
    <row r="527" spans="5:9" x14ac:dyDescent="0.25">
      <c r="E527" s="2" t="str">
        <f t="shared" si="248"/>
        <v/>
      </c>
      <c r="F527" t="str">
        <f t="shared" ca="1" si="249"/>
        <v/>
      </c>
      <c r="I527" t="str">
        <f t="shared" si="250"/>
        <v/>
      </c>
    </row>
    <row r="528" spans="5:9" x14ac:dyDescent="0.25">
      <c r="E528" s="2" t="str">
        <f t="shared" si="248"/>
        <v/>
      </c>
      <c r="F528" t="str">
        <f t="shared" ca="1" si="249"/>
        <v/>
      </c>
      <c r="I528" t="str">
        <f t="shared" si="250"/>
        <v/>
      </c>
    </row>
    <row r="529" spans="5:9" x14ac:dyDescent="0.25">
      <c r="E529" s="2" t="str">
        <f t="shared" si="248"/>
        <v/>
      </c>
      <c r="F529" t="str">
        <f t="shared" ca="1" si="249"/>
        <v/>
      </c>
      <c r="I529" t="str">
        <f t="shared" si="250"/>
        <v/>
      </c>
    </row>
    <row r="530" spans="5:9" x14ac:dyDescent="0.25">
      <c r="E530" s="2" t="str">
        <f t="shared" si="248"/>
        <v/>
      </c>
      <c r="F530" t="str">
        <f t="shared" ca="1" si="249"/>
        <v/>
      </c>
      <c r="I530" t="str">
        <f t="shared" si="250"/>
        <v/>
      </c>
    </row>
    <row r="531" spans="5:9" x14ac:dyDescent="0.25">
      <c r="E531" s="2" t="str">
        <f t="shared" si="248"/>
        <v/>
      </c>
      <c r="F531" t="str">
        <f t="shared" ca="1" si="249"/>
        <v/>
      </c>
      <c r="I531" t="str">
        <f t="shared" si="250"/>
        <v/>
      </c>
    </row>
    <row r="532" spans="5:9" x14ac:dyDescent="0.25">
      <c r="E532" s="2" t="str">
        <f t="shared" si="248"/>
        <v/>
      </c>
      <c r="F532" t="str">
        <f t="shared" ca="1" si="249"/>
        <v/>
      </c>
      <c r="I532" t="str">
        <f t="shared" si="250"/>
        <v/>
      </c>
    </row>
    <row r="533" spans="5:9" x14ac:dyDescent="0.25">
      <c r="E533" s="2" t="str">
        <f t="shared" si="248"/>
        <v/>
      </c>
      <c r="F533" t="str">
        <f t="shared" ca="1" si="249"/>
        <v/>
      </c>
      <c r="I533" t="str">
        <f t="shared" si="250"/>
        <v/>
      </c>
    </row>
    <row r="534" spans="5:9" x14ac:dyDescent="0.25">
      <c r="E534" s="2" t="str">
        <f t="shared" si="248"/>
        <v/>
      </c>
      <c r="F534" t="str">
        <f t="shared" ca="1" si="249"/>
        <v/>
      </c>
      <c r="I534" t="str">
        <f t="shared" si="250"/>
        <v/>
      </c>
    </row>
    <row r="535" spans="5:9" x14ac:dyDescent="0.25">
      <c r="E535" s="2" t="str">
        <f t="shared" si="248"/>
        <v/>
      </c>
      <c r="F535" t="str">
        <f t="shared" ca="1" si="249"/>
        <v/>
      </c>
      <c r="I535" t="str">
        <f t="shared" si="250"/>
        <v/>
      </c>
    </row>
    <row r="536" spans="5:9" x14ac:dyDescent="0.25">
      <c r="E536" s="2" t="str">
        <f t="shared" si="248"/>
        <v/>
      </c>
      <c r="F536" t="str">
        <f t="shared" ca="1" si="249"/>
        <v/>
      </c>
      <c r="I536" t="str">
        <f t="shared" si="250"/>
        <v/>
      </c>
    </row>
    <row r="537" spans="5:9" x14ac:dyDescent="0.25">
      <c r="E537" s="2" t="str">
        <f t="shared" si="248"/>
        <v/>
      </c>
      <c r="F537" t="str">
        <f t="shared" ca="1" si="249"/>
        <v/>
      </c>
      <c r="I537" t="str">
        <f t="shared" si="250"/>
        <v/>
      </c>
    </row>
    <row r="538" spans="5:9" x14ac:dyDescent="0.25">
      <c r="E538" s="2" t="str">
        <f t="shared" si="248"/>
        <v/>
      </c>
      <c r="F538" t="str">
        <f t="shared" ca="1" si="249"/>
        <v/>
      </c>
      <c r="I538" t="str">
        <f t="shared" si="250"/>
        <v/>
      </c>
    </row>
    <row r="539" spans="5:9" x14ac:dyDescent="0.25">
      <c r="E539" s="2" t="str">
        <f t="shared" si="248"/>
        <v/>
      </c>
      <c r="F539" t="str">
        <f t="shared" ca="1" si="249"/>
        <v/>
      </c>
      <c r="I539" t="str">
        <f t="shared" si="250"/>
        <v/>
      </c>
    </row>
    <row r="540" spans="5:9" x14ac:dyDescent="0.25">
      <c r="E540" s="2" t="str">
        <f t="shared" si="248"/>
        <v/>
      </c>
      <c r="F540" t="str">
        <f t="shared" ca="1" si="249"/>
        <v/>
      </c>
      <c r="I540" t="str">
        <f t="shared" si="250"/>
        <v/>
      </c>
    </row>
    <row r="541" spans="5:9" x14ac:dyDescent="0.25">
      <c r="E541" s="2" t="str">
        <f t="shared" si="248"/>
        <v/>
      </c>
      <c r="F541" t="str">
        <f t="shared" ca="1" si="249"/>
        <v/>
      </c>
      <c r="I541" t="str">
        <f t="shared" si="250"/>
        <v/>
      </c>
    </row>
    <row r="542" spans="5:9" x14ac:dyDescent="0.25">
      <c r="E542" s="2" t="str">
        <f t="shared" si="248"/>
        <v/>
      </c>
      <c r="F542" t="str">
        <f t="shared" ca="1" si="249"/>
        <v/>
      </c>
      <c r="I542" t="str">
        <f t="shared" si="250"/>
        <v/>
      </c>
    </row>
    <row r="543" spans="5:9" x14ac:dyDescent="0.25">
      <c r="E543" s="2" t="str">
        <f t="shared" si="248"/>
        <v/>
      </c>
      <c r="F543" t="str">
        <f t="shared" ca="1" si="249"/>
        <v/>
      </c>
      <c r="I543" t="str">
        <f t="shared" si="250"/>
        <v/>
      </c>
    </row>
    <row r="544" spans="5:9" x14ac:dyDescent="0.25">
      <c r="E544" s="2" t="str">
        <f t="shared" si="248"/>
        <v/>
      </c>
      <c r="F544" t="str">
        <f t="shared" ca="1" si="249"/>
        <v/>
      </c>
      <c r="I544" t="str">
        <f t="shared" si="250"/>
        <v/>
      </c>
    </row>
    <row r="545" spans="5:9" x14ac:dyDescent="0.25">
      <c r="E545" s="2" t="str">
        <f t="shared" si="248"/>
        <v/>
      </c>
      <c r="F545" t="str">
        <f t="shared" ca="1" si="249"/>
        <v/>
      </c>
      <c r="I545" t="str">
        <f t="shared" si="250"/>
        <v/>
      </c>
    </row>
    <row r="546" spans="5:9" x14ac:dyDescent="0.25">
      <c r="E546" s="2" t="str">
        <f t="shared" si="248"/>
        <v/>
      </c>
      <c r="F546" t="str">
        <f t="shared" ca="1" si="249"/>
        <v/>
      </c>
      <c r="I546" t="str">
        <f t="shared" si="250"/>
        <v/>
      </c>
    </row>
    <row r="547" spans="5:9" x14ac:dyDescent="0.25">
      <c r="E547" s="2" t="str">
        <f t="shared" si="248"/>
        <v/>
      </c>
      <c r="F547" t="str">
        <f t="shared" ca="1" si="249"/>
        <v/>
      </c>
      <c r="I547" t="str">
        <f t="shared" si="250"/>
        <v/>
      </c>
    </row>
    <row r="548" spans="5:9" x14ac:dyDescent="0.25">
      <c r="E548" s="2" t="str">
        <f t="shared" si="248"/>
        <v/>
      </c>
      <c r="F548" t="str">
        <f t="shared" ca="1" si="249"/>
        <v/>
      </c>
      <c r="I548" t="str">
        <f t="shared" si="250"/>
        <v/>
      </c>
    </row>
    <row r="549" spans="5:9" x14ac:dyDescent="0.25">
      <c r="E549" s="2" t="str">
        <f t="shared" si="248"/>
        <v/>
      </c>
      <c r="F549" t="str">
        <f t="shared" ca="1" si="249"/>
        <v/>
      </c>
      <c r="I549" t="str">
        <f t="shared" si="250"/>
        <v/>
      </c>
    </row>
    <row r="550" spans="5:9" x14ac:dyDescent="0.25">
      <c r="E550" s="2" t="str">
        <f t="shared" si="248"/>
        <v/>
      </c>
      <c r="F550" t="str">
        <f t="shared" ca="1" si="249"/>
        <v/>
      </c>
      <c r="I550" t="str">
        <f t="shared" si="250"/>
        <v/>
      </c>
    </row>
    <row r="551" spans="5:9" x14ac:dyDescent="0.25">
      <c r="E551" s="2" t="str">
        <f t="shared" si="248"/>
        <v/>
      </c>
      <c r="F551" t="str">
        <f t="shared" ca="1" si="249"/>
        <v/>
      </c>
      <c r="I551" t="str">
        <f t="shared" si="250"/>
        <v/>
      </c>
    </row>
    <row r="552" spans="5:9" x14ac:dyDescent="0.25">
      <c r="E552" s="2" t="str">
        <f t="shared" si="248"/>
        <v/>
      </c>
      <c r="F552" t="str">
        <f t="shared" ca="1" si="249"/>
        <v/>
      </c>
      <c r="I552" t="str">
        <f t="shared" si="250"/>
        <v/>
      </c>
    </row>
    <row r="553" spans="5:9" x14ac:dyDescent="0.25">
      <c r="E553" s="2" t="str">
        <f t="shared" si="248"/>
        <v/>
      </c>
      <c r="F553" t="str">
        <f t="shared" ca="1" si="249"/>
        <v/>
      </c>
      <c r="I553" t="str">
        <f t="shared" si="250"/>
        <v/>
      </c>
    </row>
    <row r="554" spans="5:9" x14ac:dyDescent="0.25">
      <c r="E554" s="2" t="str">
        <f t="shared" si="248"/>
        <v/>
      </c>
      <c r="F554" t="str">
        <f t="shared" ca="1" si="249"/>
        <v/>
      </c>
      <c r="I554" t="str">
        <f t="shared" si="250"/>
        <v/>
      </c>
    </row>
    <row r="555" spans="5:9" x14ac:dyDescent="0.25">
      <c r="E555" s="2" t="str">
        <f t="shared" si="248"/>
        <v/>
      </c>
      <c r="F555" t="str">
        <f t="shared" ca="1" si="249"/>
        <v/>
      </c>
      <c r="I555" t="str">
        <f t="shared" si="250"/>
        <v/>
      </c>
    </row>
    <row r="556" spans="5:9" x14ac:dyDescent="0.25">
      <c r="E556" s="2" t="str">
        <f t="shared" si="248"/>
        <v/>
      </c>
      <c r="F556" t="str">
        <f t="shared" ca="1" si="249"/>
        <v/>
      </c>
      <c r="I556" t="str">
        <f t="shared" si="250"/>
        <v/>
      </c>
    </row>
    <row r="557" spans="5:9" x14ac:dyDescent="0.25">
      <c r="E557" s="2" t="str">
        <f t="shared" si="248"/>
        <v/>
      </c>
      <c r="F557" t="str">
        <f t="shared" ca="1" si="249"/>
        <v/>
      </c>
      <c r="I557" t="str">
        <f t="shared" si="250"/>
        <v/>
      </c>
    </row>
    <row r="558" spans="5:9" x14ac:dyDescent="0.25">
      <c r="E558" s="2" t="str">
        <f t="shared" si="248"/>
        <v/>
      </c>
      <c r="F558" t="str">
        <f t="shared" ca="1" si="249"/>
        <v/>
      </c>
      <c r="I558" t="str">
        <f t="shared" si="250"/>
        <v/>
      </c>
    </row>
    <row r="559" spans="5:9" x14ac:dyDescent="0.25">
      <c r="E559" s="2" t="str">
        <f t="shared" si="248"/>
        <v/>
      </c>
      <c r="F559" t="str">
        <f t="shared" ca="1" si="249"/>
        <v/>
      </c>
      <c r="I559" t="str">
        <f t="shared" si="250"/>
        <v/>
      </c>
    </row>
    <row r="560" spans="5:9" x14ac:dyDescent="0.25">
      <c r="E560" s="2" t="str">
        <f t="shared" si="248"/>
        <v/>
      </c>
      <c r="F560" t="str">
        <f t="shared" ca="1" si="249"/>
        <v/>
      </c>
      <c r="I560" t="str">
        <f t="shared" si="250"/>
        <v/>
      </c>
    </row>
    <row r="561" spans="5:9" x14ac:dyDescent="0.25">
      <c r="E561" s="2" t="str">
        <f t="shared" si="248"/>
        <v/>
      </c>
      <c r="F561" t="str">
        <f t="shared" ca="1" si="249"/>
        <v/>
      </c>
      <c r="I561" t="str">
        <f t="shared" si="250"/>
        <v/>
      </c>
    </row>
    <row r="562" spans="5:9" x14ac:dyDescent="0.25">
      <c r="E562" s="2" t="str">
        <f t="shared" si="248"/>
        <v/>
      </c>
      <c r="F562" t="str">
        <f t="shared" ca="1" si="249"/>
        <v/>
      </c>
      <c r="I562" t="str">
        <f t="shared" si="250"/>
        <v/>
      </c>
    </row>
    <row r="563" spans="5:9" x14ac:dyDescent="0.25">
      <c r="E563" s="2" t="str">
        <f t="shared" si="248"/>
        <v/>
      </c>
      <c r="F563" t="str">
        <f t="shared" ca="1" si="249"/>
        <v/>
      </c>
      <c r="I563" t="str">
        <f t="shared" si="250"/>
        <v/>
      </c>
    </row>
    <row r="564" spans="5:9" x14ac:dyDescent="0.25">
      <c r="E564" s="2" t="str">
        <f t="shared" si="248"/>
        <v/>
      </c>
      <c r="F564" t="str">
        <f t="shared" ca="1" si="249"/>
        <v/>
      </c>
      <c r="I564" t="str">
        <f t="shared" si="250"/>
        <v/>
      </c>
    </row>
    <row r="565" spans="5:9" x14ac:dyDescent="0.25">
      <c r="E565" s="2" t="str">
        <f t="shared" si="248"/>
        <v/>
      </c>
      <c r="F565" t="str">
        <f t="shared" ca="1" si="249"/>
        <v/>
      </c>
      <c r="I565" t="str">
        <f t="shared" si="250"/>
        <v/>
      </c>
    </row>
    <row r="566" spans="5:9" x14ac:dyDescent="0.25">
      <c r="E566" s="2" t="str">
        <f t="shared" si="248"/>
        <v/>
      </c>
      <c r="F566" t="str">
        <f t="shared" ca="1" si="249"/>
        <v/>
      </c>
      <c r="I566" t="str">
        <f t="shared" si="250"/>
        <v/>
      </c>
    </row>
    <row r="567" spans="5:9" x14ac:dyDescent="0.25">
      <c r="E567" s="2" t="str">
        <f t="shared" si="248"/>
        <v/>
      </c>
      <c r="F567" t="str">
        <f t="shared" ca="1" si="249"/>
        <v/>
      </c>
      <c r="I567" t="str">
        <f t="shared" si="250"/>
        <v/>
      </c>
    </row>
    <row r="568" spans="5:9" x14ac:dyDescent="0.25">
      <c r="E568" s="2" t="str">
        <f t="shared" si="248"/>
        <v/>
      </c>
      <c r="F568" t="str">
        <f t="shared" ca="1" si="249"/>
        <v/>
      </c>
      <c r="I568" t="str">
        <f t="shared" si="250"/>
        <v/>
      </c>
    </row>
    <row r="569" spans="5:9" x14ac:dyDescent="0.25">
      <c r="E569" s="2" t="str">
        <f t="shared" si="248"/>
        <v/>
      </c>
      <c r="F569" t="str">
        <f t="shared" ca="1" si="249"/>
        <v/>
      </c>
      <c r="I569" t="str">
        <f t="shared" si="250"/>
        <v/>
      </c>
    </row>
    <row r="570" spans="5:9" x14ac:dyDescent="0.25">
      <c r="E570" s="2" t="str">
        <f t="shared" si="248"/>
        <v/>
      </c>
      <c r="F570" t="str">
        <f t="shared" ca="1" si="249"/>
        <v/>
      </c>
      <c r="I570" t="str">
        <f t="shared" si="250"/>
        <v/>
      </c>
    </row>
    <row r="571" spans="5:9" x14ac:dyDescent="0.25">
      <c r="E571" s="2" t="str">
        <f t="shared" si="248"/>
        <v/>
      </c>
      <c r="F571" t="str">
        <f t="shared" ca="1" si="249"/>
        <v/>
      </c>
      <c r="I571" t="str">
        <f t="shared" si="250"/>
        <v/>
      </c>
    </row>
    <row r="572" spans="5:9" x14ac:dyDescent="0.25">
      <c r="E572" s="2" t="str">
        <f t="shared" si="248"/>
        <v/>
      </c>
      <c r="F572" t="str">
        <f t="shared" ca="1" si="249"/>
        <v/>
      </c>
      <c r="I572" t="str">
        <f t="shared" si="250"/>
        <v/>
      </c>
    </row>
    <row r="573" spans="5:9" x14ac:dyDescent="0.25">
      <c r="E573" s="2" t="str">
        <f t="shared" si="248"/>
        <v/>
      </c>
      <c r="F573" t="str">
        <f t="shared" ca="1" si="249"/>
        <v/>
      </c>
      <c r="I573" t="str">
        <f t="shared" si="250"/>
        <v/>
      </c>
    </row>
    <row r="574" spans="5:9" x14ac:dyDescent="0.25">
      <c r="E574" s="2" t="str">
        <f t="shared" si="248"/>
        <v/>
      </c>
      <c r="F574" t="str">
        <f t="shared" ca="1" si="249"/>
        <v/>
      </c>
      <c r="I574" t="str">
        <f t="shared" si="250"/>
        <v/>
      </c>
    </row>
    <row r="575" spans="5:9" x14ac:dyDescent="0.25">
      <c r="E575" s="2" t="str">
        <f t="shared" si="248"/>
        <v/>
      </c>
      <c r="F575" t="str">
        <f t="shared" ca="1" si="249"/>
        <v/>
      </c>
      <c r="I575" t="str">
        <f t="shared" si="250"/>
        <v/>
      </c>
    </row>
    <row r="576" spans="5:9" x14ac:dyDescent="0.25">
      <c r="E576" s="2" t="str">
        <f t="shared" si="248"/>
        <v/>
      </c>
      <c r="F576" t="str">
        <f t="shared" ca="1" si="249"/>
        <v/>
      </c>
      <c r="I576" t="str">
        <f t="shared" si="250"/>
        <v/>
      </c>
    </row>
    <row r="577" spans="5:9" x14ac:dyDescent="0.25">
      <c r="E577" s="2" t="str">
        <f t="shared" si="248"/>
        <v/>
      </c>
      <c r="F577" t="str">
        <f t="shared" ca="1" si="249"/>
        <v/>
      </c>
      <c r="I577" t="str">
        <f t="shared" si="250"/>
        <v/>
      </c>
    </row>
    <row r="578" spans="5:9" x14ac:dyDescent="0.25">
      <c r="E578" s="2" t="str">
        <f t="shared" ref="E578:E641" si="251">IF(C578&lt;&gt;"",D578+VLOOKUP(C578,$T$2:$U$6,2,FALSE),"")</f>
        <v/>
      </c>
      <c r="F578" t="str">
        <f t="shared" ref="F578:F641" ca="1" si="252">IF(E578&lt;&gt;"",E578-TODAY(),"")</f>
        <v/>
      </c>
      <c r="I578" t="str">
        <f t="shared" ref="I578:I641" si="253">IF(H578&lt;&gt;"",H578-G578,"")</f>
        <v/>
      </c>
    </row>
    <row r="579" spans="5:9" x14ac:dyDescent="0.25">
      <c r="E579" s="2" t="str">
        <f t="shared" si="251"/>
        <v/>
      </c>
      <c r="F579" t="str">
        <f t="shared" ca="1" si="252"/>
        <v/>
      </c>
      <c r="I579" t="str">
        <f t="shared" si="253"/>
        <v/>
      </c>
    </row>
    <row r="580" spans="5:9" x14ac:dyDescent="0.25">
      <c r="E580" s="2" t="str">
        <f t="shared" si="251"/>
        <v/>
      </c>
      <c r="F580" t="str">
        <f t="shared" ca="1" si="252"/>
        <v/>
      </c>
      <c r="I580" t="str">
        <f t="shared" si="253"/>
        <v/>
      </c>
    </row>
    <row r="581" spans="5:9" x14ac:dyDescent="0.25">
      <c r="E581" s="2" t="str">
        <f t="shared" si="251"/>
        <v/>
      </c>
      <c r="F581" t="str">
        <f t="shared" ca="1" si="252"/>
        <v/>
      </c>
      <c r="I581" t="str">
        <f t="shared" si="253"/>
        <v/>
      </c>
    </row>
    <row r="582" spans="5:9" x14ac:dyDescent="0.25">
      <c r="E582" s="2" t="str">
        <f t="shared" si="251"/>
        <v/>
      </c>
      <c r="F582" t="str">
        <f t="shared" ca="1" si="252"/>
        <v/>
      </c>
      <c r="I582" t="str">
        <f t="shared" si="253"/>
        <v/>
      </c>
    </row>
    <row r="583" spans="5:9" x14ac:dyDescent="0.25">
      <c r="E583" s="2" t="str">
        <f t="shared" si="251"/>
        <v/>
      </c>
      <c r="F583" t="str">
        <f t="shared" ca="1" si="252"/>
        <v/>
      </c>
      <c r="I583" t="str">
        <f t="shared" si="253"/>
        <v/>
      </c>
    </row>
    <row r="584" spans="5:9" x14ac:dyDescent="0.25">
      <c r="E584" s="2" t="str">
        <f t="shared" si="251"/>
        <v/>
      </c>
      <c r="F584" t="str">
        <f t="shared" ca="1" si="252"/>
        <v/>
      </c>
      <c r="I584" t="str">
        <f t="shared" si="253"/>
        <v/>
      </c>
    </row>
    <row r="585" spans="5:9" x14ac:dyDescent="0.25">
      <c r="E585" s="2" t="str">
        <f t="shared" si="251"/>
        <v/>
      </c>
      <c r="F585" t="str">
        <f t="shared" ca="1" si="252"/>
        <v/>
      </c>
      <c r="I585" t="str">
        <f t="shared" si="253"/>
        <v/>
      </c>
    </row>
    <row r="586" spans="5:9" x14ac:dyDescent="0.25">
      <c r="E586" s="2" t="str">
        <f t="shared" si="251"/>
        <v/>
      </c>
      <c r="F586" t="str">
        <f t="shared" ca="1" si="252"/>
        <v/>
      </c>
      <c r="I586" t="str">
        <f t="shared" si="253"/>
        <v/>
      </c>
    </row>
    <row r="587" spans="5:9" x14ac:dyDescent="0.25">
      <c r="E587" s="2" t="str">
        <f t="shared" si="251"/>
        <v/>
      </c>
      <c r="F587" t="str">
        <f t="shared" ca="1" si="252"/>
        <v/>
      </c>
      <c r="I587" t="str">
        <f t="shared" si="253"/>
        <v/>
      </c>
    </row>
    <row r="588" spans="5:9" x14ac:dyDescent="0.25">
      <c r="E588" s="2" t="str">
        <f t="shared" si="251"/>
        <v/>
      </c>
      <c r="F588" t="str">
        <f t="shared" ca="1" si="252"/>
        <v/>
      </c>
      <c r="I588" t="str">
        <f t="shared" si="253"/>
        <v/>
      </c>
    </row>
    <row r="589" spans="5:9" x14ac:dyDescent="0.25">
      <c r="E589" s="2" t="str">
        <f t="shared" si="251"/>
        <v/>
      </c>
      <c r="F589" t="str">
        <f t="shared" ca="1" si="252"/>
        <v/>
      </c>
      <c r="I589" t="str">
        <f t="shared" si="253"/>
        <v/>
      </c>
    </row>
    <row r="590" spans="5:9" x14ac:dyDescent="0.25">
      <c r="E590" s="2" t="str">
        <f t="shared" si="251"/>
        <v/>
      </c>
      <c r="F590" t="str">
        <f t="shared" ca="1" si="252"/>
        <v/>
      </c>
      <c r="I590" t="str">
        <f t="shared" si="253"/>
        <v/>
      </c>
    </row>
    <row r="591" spans="5:9" x14ac:dyDescent="0.25">
      <c r="E591" s="2" t="str">
        <f t="shared" si="251"/>
        <v/>
      </c>
      <c r="F591" t="str">
        <f t="shared" ca="1" si="252"/>
        <v/>
      </c>
      <c r="I591" t="str">
        <f t="shared" si="253"/>
        <v/>
      </c>
    </row>
    <row r="592" spans="5:9" x14ac:dyDescent="0.25">
      <c r="E592" s="2" t="str">
        <f t="shared" si="251"/>
        <v/>
      </c>
      <c r="F592" t="str">
        <f t="shared" ca="1" si="252"/>
        <v/>
      </c>
      <c r="I592" t="str">
        <f t="shared" si="253"/>
        <v/>
      </c>
    </row>
    <row r="593" spans="5:9" x14ac:dyDescent="0.25">
      <c r="E593" s="2" t="str">
        <f t="shared" si="251"/>
        <v/>
      </c>
      <c r="F593" t="str">
        <f t="shared" ca="1" si="252"/>
        <v/>
      </c>
      <c r="I593" t="str">
        <f t="shared" si="253"/>
        <v/>
      </c>
    </row>
    <row r="594" spans="5:9" x14ac:dyDescent="0.25">
      <c r="E594" s="2" t="str">
        <f t="shared" si="251"/>
        <v/>
      </c>
      <c r="F594" t="str">
        <f t="shared" ca="1" si="252"/>
        <v/>
      </c>
      <c r="I594" t="str">
        <f t="shared" si="253"/>
        <v/>
      </c>
    </row>
    <row r="595" spans="5:9" x14ac:dyDescent="0.25">
      <c r="E595" s="2" t="str">
        <f t="shared" si="251"/>
        <v/>
      </c>
      <c r="F595" t="str">
        <f t="shared" ca="1" si="252"/>
        <v/>
      </c>
      <c r="I595" t="str">
        <f t="shared" si="253"/>
        <v/>
      </c>
    </row>
    <row r="596" spans="5:9" x14ac:dyDescent="0.25">
      <c r="E596" s="2" t="str">
        <f t="shared" si="251"/>
        <v/>
      </c>
      <c r="F596" t="str">
        <f t="shared" ca="1" si="252"/>
        <v/>
      </c>
      <c r="I596" t="str">
        <f t="shared" si="253"/>
        <v/>
      </c>
    </row>
    <row r="597" spans="5:9" x14ac:dyDescent="0.25">
      <c r="E597" s="2" t="str">
        <f t="shared" si="251"/>
        <v/>
      </c>
      <c r="F597" t="str">
        <f t="shared" ca="1" si="252"/>
        <v/>
      </c>
      <c r="I597" t="str">
        <f t="shared" si="253"/>
        <v/>
      </c>
    </row>
    <row r="598" spans="5:9" x14ac:dyDescent="0.25">
      <c r="E598" s="2" t="str">
        <f t="shared" si="251"/>
        <v/>
      </c>
      <c r="F598" t="str">
        <f t="shared" ca="1" si="252"/>
        <v/>
      </c>
      <c r="I598" t="str">
        <f t="shared" si="253"/>
        <v/>
      </c>
    </row>
    <row r="599" spans="5:9" x14ac:dyDescent="0.25">
      <c r="E599" s="2" t="str">
        <f t="shared" si="251"/>
        <v/>
      </c>
      <c r="F599" t="str">
        <f t="shared" ca="1" si="252"/>
        <v/>
      </c>
      <c r="I599" t="str">
        <f t="shared" si="253"/>
        <v/>
      </c>
    </row>
    <row r="600" spans="5:9" x14ac:dyDescent="0.25">
      <c r="E600" s="2" t="str">
        <f t="shared" si="251"/>
        <v/>
      </c>
      <c r="F600" t="str">
        <f t="shared" ca="1" si="252"/>
        <v/>
      </c>
      <c r="I600" t="str">
        <f t="shared" si="253"/>
        <v/>
      </c>
    </row>
    <row r="601" spans="5:9" x14ac:dyDescent="0.25">
      <c r="E601" s="2" t="str">
        <f t="shared" si="251"/>
        <v/>
      </c>
      <c r="F601" t="str">
        <f t="shared" ca="1" si="252"/>
        <v/>
      </c>
      <c r="I601" t="str">
        <f t="shared" si="253"/>
        <v/>
      </c>
    </row>
    <row r="602" spans="5:9" x14ac:dyDescent="0.25">
      <c r="E602" s="2" t="str">
        <f t="shared" si="251"/>
        <v/>
      </c>
      <c r="F602" t="str">
        <f t="shared" ca="1" si="252"/>
        <v/>
      </c>
      <c r="I602" t="str">
        <f t="shared" si="253"/>
        <v/>
      </c>
    </row>
    <row r="603" spans="5:9" x14ac:dyDescent="0.25">
      <c r="E603" s="2" t="str">
        <f t="shared" si="251"/>
        <v/>
      </c>
      <c r="F603" t="str">
        <f t="shared" ca="1" si="252"/>
        <v/>
      </c>
      <c r="I603" t="str">
        <f t="shared" si="253"/>
        <v/>
      </c>
    </row>
    <row r="604" spans="5:9" x14ac:dyDescent="0.25">
      <c r="E604" s="2" t="str">
        <f t="shared" si="251"/>
        <v/>
      </c>
      <c r="F604" t="str">
        <f t="shared" ca="1" si="252"/>
        <v/>
      </c>
      <c r="I604" t="str">
        <f t="shared" si="253"/>
        <v/>
      </c>
    </row>
    <row r="605" spans="5:9" x14ac:dyDescent="0.25">
      <c r="E605" s="2" t="str">
        <f t="shared" si="251"/>
        <v/>
      </c>
      <c r="F605" t="str">
        <f t="shared" ca="1" si="252"/>
        <v/>
      </c>
      <c r="I605" t="str">
        <f t="shared" si="253"/>
        <v/>
      </c>
    </row>
    <row r="606" spans="5:9" x14ac:dyDescent="0.25">
      <c r="E606" s="2" t="str">
        <f t="shared" si="251"/>
        <v/>
      </c>
      <c r="F606" t="str">
        <f t="shared" ca="1" si="252"/>
        <v/>
      </c>
      <c r="I606" t="str">
        <f t="shared" si="253"/>
        <v/>
      </c>
    </row>
    <row r="607" spans="5:9" x14ac:dyDescent="0.25">
      <c r="E607" s="2" t="str">
        <f t="shared" si="251"/>
        <v/>
      </c>
      <c r="F607" t="str">
        <f t="shared" ca="1" si="252"/>
        <v/>
      </c>
      <c r="I607" t="str">
        <f t="shared" si="253"/>
        <v/>
      </c>
    </row>
    <row r="608" spans="5:9" x14ac:dyDescent="0.25">
      <c r="E608" s="2" t="str">
        <f t="shared" si="251"/>
        <v/>
      </c>
      <c r="F608" t="str">
        <f t="shared" ca="1" si="252"/>
        <v/>
      </c>
      <c r="I608" t="str">
        <f t="shared" si="253"/>
        <v/>
      </c>
    </row>
    <row r="609" spans="5:9" x14ac:dyDescent="0.25">
      <c r="E609" s="2" t="str">
        <f t="shared" si="251"/>
        <v/>
      </c>
      <c r="F609" t="str">
        <f t="shared" ca="1" si="252"/>
        <v/>
      </c>
      <c r="I609" t="str">
        <f t="shared" si="253"/>
        <v/>
      </c>
    </row>
    <row r="610" spans="5:9" x14ac:dyDescent="0.25">
      <c r="E610" s="2" t="str">
        <f t="shared" si="251"/>
        <v/>
      </c>
      <c r="F610" t="str">
        <f t="shared" ca="1" si="252"/>
        <v/>
      </c>
      <c r="I610" t="str">
        <f t="shared" si="253"/>
        <v/>
      </c>
    </row>
    <row r="611" spans="5:9" x14ac:dyDescent="0.25">
      <c r="E611" s="2" t="str">
        <f t="shared" si="251"/>
        <v/>
      </c>
      <c r="F611" t="str">
        <f t="shared" ca="1" si="252"/>
        <v/>
      </c>
      <c r="I611" t="str">
        <f t="shared" si="253"/>
        <v/>
      </c>
    </row>
    <row r="612" spans="5:9" x14ac:dyDescent="0.25">
      <c r="E612" s="2" t="str">
        <f t="shared" si="251"/>
        <v/>
      </c>
      <c r="F612" t="str">
        <f t="shared" ca="1" si="252"/>
        <v/>
      </c>
      <c r="I612" t="str">
        <f t="shared" si="253"/>
        <v/>
      </c>
    </row>
    <row r="613" spans="5:9" x14ac:dyDescent="0.25">
      <c r="E613" s="2" t="str">
        <f t="shared" si="251"/>
        <v/>
      </c>
      <c r="F613" t="str">
        <f t="shared" ca="1" si="252"/>
        <v/>
      </c>
      <c r="I613" t="str">
        <f t="shared" si="253"/>
        <v/>
      </c>
    </row>
    <row r="614" spans="5:9" x14ac:dyDescent="0.25">
      <c r="E614" s="2" t="str">
        <f t="shared" si="251"/>
        <v/>
      </c>
      <c r="F614" t="str">
        <f t="shared" ca="1" si="252"/>
        <v/>
      </c>
      <c r="I614" t="str">
        <f t="shared" si="253"/>
        <v/>
      </c>
    </row>
    <row r="615" spans="5:9" x14ac:dyDescent="0.25">
      <c r="E615" s="2" t="str">
        <f t="shared" si="251"/>
        <v/>
      </c>
      <c r="F615" t="str">
        <f t="shared" ca="1" si="252"/>
        <v/>
      </c>
      <c r="I615" t="str">
        <f t="shared" si="253"/>
        <v/>
      </c>
    </row>
    <row r="616" spans="5:9" x14ac:dyDescent="0.25">
      <c r="E616" s="2" t="str">
        <f t="shared" si="251"/>
        <v/>
      </c>
      <c r="F616" t="str">
        <f t="shared" ca="1" si="252"/>
        <v/>
      </c>
      <c r="I616" t="str">
        <f t="shared" si="253"/>
        <v/>
      </c>
    </row>
    <row r="617" spans="5:9" x14ac:dyDescent="0.25">
      <c r="E617" s="2" t="str">
        <f t="shared" si="251"/>
        <v/>
      </c>
      <c r="F617" t="str">
        <f t="shared" ca="1" si="252"/>
        <v/>
      </c>
      <c r="I617" t="str">
        <f t="shared" si="253"/>
        <v/>
      </c>
    </row>
    <row r="618" spans="5:9" x14ac:dyDescent="0.25">
      <c r="E618" s="2" t="str">
        <f t="shared" si="251"/>
        <v/>
      </c>
      <c r="F618" t="str">
        <f t="shared" ca="1" si="252"/>
        <v/>
      </c>
      <c r="I618" t="str">
        <f t="shared" si="253"/>
        <v/>
      </c>
    </row>
    <row r="619" spans="5:9" x14ac:dyDescent="0.25">
      <c r="E619" s="2" t="str">
        <f t="shared" si="251"/>
        <v/>
      </c>
      <c r="F619" t="str">
        <f t="shared" ca="1" si="252"/>
        <v/>
      </c>
      <c r="I619" t="str">
        <f t="shared" si="253"/>
        <v/>
      </c>
    </row>
    <row r="620" spans="5:9" x14ac:dyDescent="0.25">
      <c r="E620" s="2" t="str">
        <f t="shared" si="251"/>
        <v/>
      </c>
      <c r="F620" t="str">
        <f t="shared" ca="1" si="252"/>
        <v/>
      </c>
      <c r="I620" t="str">
        <f t="shared" si="253"/>
        <v/>
      </c>
    </row>
    <row r="621" spans="5:9" x14ac:dyDescent="0.25">
      <c r="E621" s="2" t="str">
        <f t="shared" si="251"/>
        <v/>
      </c>
      <c r="F621" t="str">
        <f t="shared" ca="1" si="252"/>
        <v/>
      </c>
      <c r="I621" t="str">
        <f t="shared" si="253"/>
        <v/>
      </c>
    </row>
    <row r="622" spans="5:9" x14ac:dyDescent="0.25">
      <c r="E622" s="2" t="str">
        <f t="shared" si="251"/>
        <v/>
      </c>
      <c r="F622" t="str">
        <f t="shared" ca="1" si="252"/>
        <v/>
      </c>
      <c r="I622" t="str">
        <f t="shared" si="253"/>
        <v/>
      </c>
    </row>
    <row r="623" spans="5:9" x14ac:dyDescent="0.25">
      <c r="E623" s="2" t="str">
        <f t="shared" si="251"/>
        <v/>
      </c>
      <c r="F623" t="str">
        <f t="shared" ca="1" si="252"/>
        <v/>
      </c>
      <c r="I623" t="str">
        <f t="shared" si="253"/>
        <v/>
      </c>
    </row>
    <row r="624" spans="5:9" x14ac:dyDescent="0.25">
      <c r="E624" s="2" t="str">
        <f t="shared" si="251"/>
        <v/>
      </c>
      <c r="F624" t="str">
        <f t="shared" ca="1" si="252"/>
        <v/>
      </c>
      <c r="I624" t="str">
        <f t="shared" si="253"/>
        <v/>
      </c>
    </row>
    <row r="625" spans="5:9" x14ac:dyDescent="0.25">
      <c r="E625" s="2" t="str">
        <f t="shared" si="251"/>
        <v/>
      </c>
      <c r="F625" t="str">
        <f t="shared" ca="1" si="252"/>
        <v/>
      </c>
      <c r="I625" t="str">
        <f t="shared" si="253"/>
        <v/>
      </c>
    </row>
    <row r="626" spans="5:9" x14ac:dyDescent="0.25">
      <c r="E626" s="2" t="str">
        <f t="shared" si="251"/>
        <v/>
      </c>
      <c r="F626" t="str">
        <f t="shared" ca="1" si="252"/>
        <v/>
      </c>
      <c r="I626" t="str">
        <f t="shared" si="253"/>
        <v/>
      </c>
    </row>
    <row r="627" spans="5:9" x14ac:dyDescent="0.25">
      <c r="E627" s="2" t="str">
        <f t="shared" si="251"/>
        <v/>
      </c>
      <c r="F627" t="str">
        <f t="shared" ca="1" si="252"/>
        <v/>
      </c>
      <c r="I627" t="str">
        <f t="shared" si="253"/>
        <v/>
      </c>
    </row>
    <row r="628" spans="5:9" x14ac:dyDescent="0.25">
      <c r="E628" s="2" t="str">
        <f t="shared" si="251"/>
        <v/>
      </c>
      <c r="F628" t="str">
        <f t="shared" ca="1" si="252"/>
        <v/>
      </c>
      <c r="I628" t="str">
        <f t="shared" si="253"/>
        <v/>
      </c>
    </row>
    <row r="629" spans="5:9" x14ac:dyDescent="0.25">
      <c r="E629" s="2" t="str">
        <f t="shared" si="251"/>
        <v/>
      </c>
      <c r="F629" t="str">
        <f t="shared" ca="1" si="252"/>
        <v/>
      </c>
      <c r="I629" t="str">
        <f t="shared" si="253"/>
        <v/>
      </c>
    </row>
    <row r="630" spans="5:9" x14ac:dyDescent="0.25">
      <c r="E630" s="2" t="str">
        <f t="shared" si="251"/>
        <v/>
      </c>
      <c r="F630" t="str">
        <f t="shared" ca="1" si="252"/>
        <v/>
      </c>
      <c r="I630" t="str">
        <f t="shared" si="253"/>
        <v/>
      </c>
    </row>
    <row r="631" spans="5:9" x14ac:dyDescent="0.25">
      <c r="E631" s="2" t="str">
        <f t="shared" si="251"/>
        <v/>
      </c>
      <c r="F631" t="str">
        <f t="shared" ca="1" si="252"/>
        <v/>
      </c>
      <c r="I631" t="str">
        <f t="shared" si="253"/>
        <v/>
      </c>
    </row>
    <row r="632" spans="5:9" x14ac:dyDescent="0.25">
      <c r="E632" s="2" t="str">
        <f t="shared" si="251"/>
        <v/>
      </c>
      <c r="F632" t="str">
        <f t="shared" ca="1" si="252"/>
        <v/>
      </c>
      <c r="I632" t="str">
        <f t="shared" si="253"/>
        <v/>
      </c>
    </row>
    <row r="633" spans="5:9" x14ac:dyDescent="0.25">
      <c r="E633" s="2" t="str">
        <f t="shared" si="251"/>
        <v/>
      </c>
      <c r="F633" t="str">
        <f t="shared" ca="1" si="252"/>
        <v/>
      </c>
      <c r="I633" t="str">
        <f t="shared" si="253"/>
        <v/>
      </c>
    </row>
    <row r="634" spans="5:9" x14ac:dyDescent="0.25">
      <c r="E634" s="2" t="str">
        <f t="shared" si="251"/>
        <v/>
      </c>
      <c r="F634" t="str">
        <f t="shared" ca="1" si="252"/>
        <v/>
      </c>
      <c r="I634" t="str">
        <f t="shared" si="253"/>
        <v/>
      </c>
    </row>
    <row r="635" spans="5:9" x14ac:dyDescent="0.25">
      <c r="E635" s="2" t="str">
        <f t="shared" si="251"/>
        <v/>
      </c>
      <c r="F635" t="str">
        <f t="shared" ca="1" si="252"/>
        <v/>
      </c>
      <c r="I635" t="str">
        <f t="shared" si="253"/>
        <v/>
      </c>
    </row>
    <row r="636" spans="5:9" x14ac:dyDescent="0.25">
      <c r="E636" s="2" t="str">
        <f t="shared" si="251"/>
        <v/>
      </c>
      <c r="F636" t="str">
        <f t="shared" ca="1" si="252"/>
        <v/>
      </c>
      <c r="I636" t="str">
        <f t="shared" si="253"/>
        <v/>
      </c>
    </row>
    <row r="637" spans="5:9" x14ac:dyDescent="0.25">
      <c r="E637" s="2" t="str">
        <f t="shared" si="251"/>
        <v/>
      </c>
      <c r="F637" t="str">
        <f t="shared" ca="1" si="252"/>
        <v/>
      </c>
      <c r="I637" t="str">
        <f t="shared" si="253"/>
        <v/>
      </c>
    </row>
    <row r="638" spans="5:9" x14ac:dyDescent="0.25">
      <c r="E638" s="2" t="str">
        <f t="shared" si="251"/>
        <v/>
      </c>
      <c r="F638" t="str">
        <f t="shared" ca="1" si="252"/>
        <v/>
      </c>
      <c r="I638" t="str">
        <f t="shared" si="253"/>
        <v/>
      </c>
    </row>
    <row r="639" spans="5:9" x14ac:dyDescent="0.25">
      <c r="E639" s="2" t="str">
        <f t="shared" si="251"/>
        <v/>
      </c>
      <c r="F639" t="str">
        <f t="shared" ca="1" si="252"/>
        <v/>
      </c>
      <c r="I639" t="str">
        <f t="shared" si="253"/>
        <v/>
      </c>
    </row>
    <row r="640" spans="5:9" x14ac:dyDescent="0.25">
      <c r="E640" s="2" t="str">
        <f t="shared" si="251"/>
        <v/>
      </c>
      <c r="F640" t="str">
        <f t="shared" ca="1" si="252"/>
        <v/>
      </c>
      <c r="I640" t="str">
        <f t="shared" si="253"/>
        <v/>
      </c>
    </row>
    <row r="641" spans="5:9" x14ac:dyDescent="0.25">
      <c r="E641" s="2" t="str">
        <f t="shared" si="251"/>
        <v/>
      </c>
      <c r="F641" t="str">
        <f t="shared" ca="1" si="252"/>
        <v/>
      </c>
      <c r="I641" t="str">
        <f t="shared" si="253"/>
        <v/>
      </c>
    </row>
    <row r="642" spans="5:9" x14ac:dyDescent="0.25">
      <c r="E642" s="2" t="str">
        <f t="shared" ref="E642:E705" si="254">IF(C642&lt;&gt;"",D642+VLOOKUP(C642,$T$2:$U$6,2,FALSE),"")</f>
        <v/>
      </c>
      <c r="F642" t="str">
        <f t="shared" ref="F642:F705" ca="1" si="255">IF(E642&lt;&gt;"",E642-TODAY(),"")</f>
        <v/>
      </c>
      <c r="I642" t="str">
        <f t="shared" ref="I642:I705" si="256">IF(H642&lt;&gt;"",H642-G642,"")</f>
        <v/>
      </c>
    </row>
    <row r="643" spans="5:9" x14ac:dyDescent="0.25">
      <c r="E643" s="2" t="str">
        <f t="shared" si="254"/>
        <v/>
      </c>
      <c r="F643" t="str">
        <f t="shared" ca="1" si="255"/>
        <v/>
      </c>
      <c r="I643" t="str">
        <f t="shared" si="256"/>
        <v/>
      </c>
    </row>
    <row r="644" spans="5:9" x14ac:dyDescent="0.25">
      <c r="E644" s="2" t="str">
        <f t="shared" si="254"/>
        <v/>
      </c>
      <c r="F644" t="str">
        <f t="shared" ca="1" si="255"/>
        <v/>
      </c>
      <c r="I644" t="str">
        <f t="shared" si="256"/>
        <v/>
      </c>
    </row>
    <row r="645" spans="5:9" x14ac:dyDescent="0.25">
      <c r="E645" s="2" t="str">
        <f t="shared" si="254"/>
        <v/>
      </c>
      <c r="F645" t="str">
        <f t="shared" ca="1" si="255"/>
        <v/>
      </c>
      <c r="I645" t="str">
        <f t="shared" si="256"/>
        <v/>
      </c>
    </row>
    <row r="646" spans="5:9" x14ac:dyDescent="0.25">
      <c r="E646" s="2" t="str">
        <f t="shared" si="254"/>
        <v/>
      </c>
      <c r="F646" t="str">
        <f t="shared" ca="1" si="255"/>
        <v/>
      </c>
      <c r="I646" t="str">
        <f t="shared" si="256"/>
        <v/>
      </c>
    </row>
    <row r="647" spans="5:9" x14ac:dyDescent="0.25">
      <c r="E647" s="2" t="str">
        <f t="shared" si="254"/>
        <v/>
      </c>
      <c r="F647" t="str">
        <f t="shared" ca="1" si="255"/>
        <v/>
      </c>
      <c r="I647" t="str">
        <f t="shared" si="256"/>
        <v/>
      </c>
    </row>
    <row r="648" spans="5:9" x14ac:dyDescent="0.25">
      <c r="E648" s="2" t="str">
        <f t="shared" si="254"/>
        <v/>
      </c>
      <c r="F648" t="str">
        <f t="shared" ca="1" si="255"/>
        <v/>
      </c>
      <c r="I648" t="str">
        <f t="shared" si="256"/>
        <v/>
      </c>
    </row>
    <row r="649" spans="5:9" x14ac:dyDescent="0.25">
      <c r="E649" s="2" t="str">
        <f t="shared" si="254"/>
        <v/>
      </c>
      <c r="F649" t="str">
        <f t="shared" ca="1" si="255"/>
        <v/>
      </c>
      <c r="I649" t="str">
        <f t="shared" si="256"/>
        <v/>
      </c>
    </row>
    <row r="650" spans="5:9" x14ac:dyDescent="0.25">
      <c r="E650" s="2" t="str">
        <f t="shared" si="254"/>
        <v/>
      </c>
      <c r="F650" t="str">
        <f t="shared" ca="1" si="255"/>
        <v/>
      </c>
      <c r="I650" t="str">
        <f t="shared" si="256"/>
        <v/>
      </c>
    </row>
    <row r="651" spans="5:9" x14ac:dyDescent="0.25">
      <c r="E651" s="2" t="str">
        <f t="shared" si="254"/>
        <v/>
      </c>
      <c r="F651" t="str">
        <f t="shared" ca="1" si="255"/>
        <v/>
      </c>
      <c r="I651" t="str">
        <f t="shared" si="256"/>
        <v/>
      </c>
    </row>
    <row r="652" spans="5:9" x14ac:dyDescent="0.25">
      <c r="E652" s="2" t="str">
        <f t="shared" si="254"/>
        <v/>
      </c>
      <c r="F652" t="str">
        <f t="shared" ca="1" si="255"/>
        <v/>
      </c>
      <c r="I652" t="str">
        <f t="shared" si="256"/>
        <v/>
      </c>
    </row>
    <row r="653" spans="5:9" x14ac:dyDescent="0.25">
      <c r="E653" s="2" t="str">
        <f t="shared" si="254"/>
        <v/>
      </c>
      <c r="F653" t="str">
        <f t="shared" ca="1" si="255"/>
        <v/>
      </c>
      <c r="I653" t="str">
        <f t="shared" si="256"/>
        <v/>
      </c>
    </row>
    <row r="654" spans="5:9" x14ac:dyDescent="0.25">
      <c r="E654" s="2" t="str">
        <f t="shared" si="254"/>
        <v/>
      </c>
      <c r="F654" t="str">
        <f t="shared" ca="1" si="255"/>
        <v/>
      </c>
      <c r="I654" t="str">
        <f t="shared" si="256"/>
        <v/>
      </c>
    </row>
    <row r="655" spans="5:9" x14ac:dyDescent="0.25">
      <c r="E655" s="2" t="str">
        <f t="shared" si="254"/>
        <v/>
      </c>
      <c r="F655" t="str">
        <f t="shared" ca="1" si="255"/>
        <v/>
      </c>
      <c r="I655" t="str">
        <f t="shared" si="256"/>
        <v/>
      </c>
    </row>
    <row r="656" spans="5:9" x14ac:dyDescent="0.25">
      <c r="E656" s="2" t="str">
        <f t="shared" si="254"/>
        <v/>
      </c>
      <c r="F656" t="str">
        <f t="shared" ca="1" si="255"/>
        <v/>
      </c>
      <c r="I656" t="str">
        <f t="shared" si="256"/>
        <v/>
      </c>
    </row>
    <row r="657" spans="5:9" x14ac:dyDescent="0.25">
      <c r="E657" s="2" t="str">
        <f t="shared" si="254"/>
        <v/>
      </c>
      <c r="F657" t="str">
        <f t="shared" ca="1" si="255"/>
        <v/>
      </c>
      <c r="I657" t="str">
        <f t="shared" si="256"/>
        <v/>
      </c>
    </row>
    <row r="658" spans="5:9" x14ac:dyDescent="0.25">
      <c r="E658" s="2" t="str">
        <f t="shared" si="254"/>
        <v/>
      </c>
      <c r="F658" t="str">
        <f t="shared" ca="1" si="255"/>
        <v/>
      </c>
      <c r="I658" t="str">
        <f t="shared" si="256"/>
        <v/>
      </c>
    </row>
    <row r="659" spans="5:9" x14ac:dyDescent="0.25">
      <c r="E659" s="2" t="str">
        <f t="shared" si="254"/>
        <v/>
      </c>
      <c r="F659" t="str">
        <f t="shared" ca="1" si="255"/>
        <v/>
      </c>
      <c r="I659" t="str">
        <f t="shared" si="256"/>
        <v/>
      </c>
    </row>
    <row r="660" spans="5:9" x14ac:dyDescent="0.25">
      <c r="E660" s="2" t="str">
        <f t="shared" si="254"/>
        <v/>
      </c>
      <c r="F660" t="str">
        <f t="shared" ca="1" si="255"/>
        <v/>
      </c>
      <c r="I660" t="str">
        <f t="shared" si="256"/>
        <v/>
      </c>
    </row>
    <row r="661" spans="5:9" x14ac:dyDescent="0.25">
      <c r="E661" s="2" t="str">
        <f t="shared" si="254"/>
        <v/>
      </c>
      <c r="F661" t="str">
        <f t="shared" ca="1" si="255"/>
        <v/>
      </c>
      <c r="I661" t="str">
        <f t="shared" si="256"/>
        <v/>
      </c>
    </row>
    <row r="662" spans="5:9" x14ac:dyDescent="0.25">
      <c r="E662" s="2" t="str">
        <f t="shared" si="254"/>
        <v/>
      </c>
      <c r="F662" t="str">
        <f t="shared" ca="1" si="255"/>
        <v/>
      </c>
      <c r="I662" t="str">
        <f t="shared" si="256"/>
        <v/>
      </c>
    </row>
    <row r="663" spans="5:9" x14ac:dyDescent="0.25">
      <c r="E663" s="2" t="str">
        <f t="shared" si="254"/>
        <v/>
      </c>
      <c r="F663" t="str">
        <f t="shared" ca="1" si="255"/>
        <v/>
      </c>
      <c r="I663" t="str">
        <f t="shared" si="256"/>
        <v/>
      </c>
    </row>
    <row r="664" spans="5:9" x14ac:dyDescent="0.25">
      <c r="E664" s="2" t="str">
        <f t="shared" si="254"/>
        <v/>
      </c>
      <c r="F664" t="str">
        <f t="shared" ca="1" si="255"/>
        <v/>
      </c>
      <c r="I664" t="str">
        <f t="shared" si="256"/>
        <v/>
      </c>
    </row>
    <row r="665" spans="5:9" x14ac:dyDescent="0.25">
      <c r="E665" s="2" t="str">
        <f t="shared" si="254"/>
        <v/>
      </c>
      <c r="F665" t="str">
        <f t="shared" ca="1" si="255"/>
        <v/>
      </c>
      <c r="I665" t="str">
        <f t="shared" si="256"/>
        <v/>
      </c>
    </row>
    <row r="666" spans="5:9" x14ac:dyDescent="0.25">
      <c r="E666" s="2" t="str">
        <f t="shared" si="254"/>
        <v/>
      </c>
      <c r="F666" t="str">
        <f t="shared" ca="1" si="255"/>
        <v/>
      </c>
      <c r="I666" t="str">
        <f t="shared" si="256"/>
        <v/>
      </c>
    </row>
    <row r="667" spans="5:9" x14ac:dyDescent="0.25">
      <c r="E667" s="2" t="str">
        <f t="shared" si="254"/>
        <v/>
      </c>
      <c r="F667" t="str">
        <f t="shared" ca="1" si="255"/>
        <v/>
      </c>
      <c r="I667" t="str">
        <f t="shared" si="256"/>
        <v/>
      </c>
    </row>
    <row r="668" spans="5:9" x14ac:dyDescent="0.25">
      <c r="E668" s="2" t="str">
        <f t="shared" si="254"/>
        <v/>
      </c>
      <c r="F668" t="str">
        <f t="shared" ca="1" si="255"/>
        <v/>
      </c>
      <c r="I668" t="str">
        <f t="shared" si="256"/>
        <v/>
      </c>
    </row>
    <row r="669" spans="5:9" x14ac:dyDescent="0.25">
      <c r="E669" s="2" t="str">
        <f t="shared" si="254"/>
        <v/>
      </c>
      <c r="F669" t="str">
        <f t="shared" ca="1" si="255"/>
        <v/>
      </c>
      <c r="I669" t="str">
        <f t="shared" si="256"/>
        <v/>
      </c>
    </row>
    <row r="670" spans="5:9" x14ac:dyDescent="0.25">
      <c r="E670" s="2" t="str">
        <f t="shared" si="254"/>
        <v/>
      </c>
      <c r="F670" t="str">
        <f t="shared" ca="1" si="255"/>
        <v/>
      </c>
      <c r="I670" t="str">
        <f t="shared" si="256"/>
        <v/>
      </c>
    </row>
    <row r="671" spans="5:9" x14ac:dyDescent="0.25">
      <c r="E671" s="2" t="str">
        <f t="shared" si="254"/>
        <v/>
      </c>
      <c r="F671" t="str">
        <f t="shared" ca="1" si="255"/>
        <v/>
      </c>
      <c r="I671" t="str">
        <f t="shared" si="256"/>
        <v/>
      </c>
    </row>
    <row r="672" spans="5:9" x14ac:dyDescent="0.25">
      <c r="E672" s="2" t="str">
        <f t="shared" si="254"/>
        <v/>
      </c>
      <c r="F672" t="str">
        <f t="shared" ca="1" si="255"/>
        <v/>
      </c>
      <c r="I672" t="str">
        <f t="shared" si="256"/>
        <v/>
      </c>
    </row>
    <row r="673" spans="5:9" x14ac:dyDescent="0.25">
      <c r="E673" s="2" t="str">
        <f t="shared" si="254"/>
        <v/>
      </c>
      <c r="F673" t="str">
        <f t="shared" ca="1" si="255"/>
        <v/>
      </c>
      <c r="I673" t="str">
        <f t="shared" si="256"/>
        <v/>
      </c>
    </row>
    <row r="674" spans="5:9" x14ac:dyDescent="0.25">
      <c r="E674" s="2" t="str">
        <f t="shared" si="254"/>
        <v/>
      </c>
      <c r="F674" t="str">
        <f t="shared" ca="1" si="255"/>
        <v/>
      </c>
      <c r="I674" t="str">
        <f t="shared" si="256"/>
        <v/>
      </c>
    </row>
    <row r="675" spans="5:9" x14ac:dyDescent="0.25">
      <c r="E675" s="2" t="str">
        <f t="shared" si="254"/>
        <v/>
      </c>
      <c r="F675" t="str">
        <f t="shared" ca="1" si="255"/>
        <v/>
      </c>
      <c r="I675" t="str">
        <f t="shared" si="256"/>
        <v/>
      </c>
    </row>
    <row r="676" spans="5:9" x14ac:dyDescent="0.25">
      <c r="E676" s="2" t="str">
        <f t="shared" si="254"/>
        <v/>
      </c>
      <c r="F676" t="str">
        <f t="shared" ca="1" si="255"/>
        <v/>
      </c>
      <c r="I676" t="str">
        <f t="shared" si="256"/>
        <v/>
      </c>
    </row>
    <row r="677" spans="5:9" x14ac:dyDescent="0.25">
      <c r="E677" s="2" t="str">
        <f t="shared" si="254"/>
        <v/>
      </c>
      <c r="F677" t="str">
        <f t="shared" ca="1" si="255"/>
        <v/>
      </c>
      <c r="I677" t="str">
        <f t="shared" si="256"/>
        <v/>
      </c>
    </row>
    <row r="678" spans="5:9" x14ac:dyDescent="0.25">
      <c r="E678" s="2" t="str">
        <f t="shared" si="254"/>
        <v/>
      </c>
      <c r="F678" t="str">
        <f t="shared" ca="1" si="255"/>
        <v/>
      </c>
      <c r="I678" t="str">
        <f t="shared" si="256"/>
        <v/>
      </c>
    </row>
    <row r="679" spans="5:9" x14ac:dyDescent="0.25">
      <c r="E679" s="2" t="str">
        <f t="shared" si="254"/>
        <v/>
      </c>
      <c r="F679" t="str">
        <f t="shared" ca="1" si="255"/>
        <v/>
      </c>
      <c r="I679" t="str">
        <f t="shared" si="256"/>
        <v/>
      </c>
    </row>
    <row r="680" spans="5:9" x14ac:dyDescent="0.25">
      <c r="E680" s="2" t="str">
        <f t="shared" si="254"/>
        <v/>
      </c>
      <c r="F680" t="str">
        <f t="shared" ca="1" si="255"/>
        <v/>
      </c>
      <c r="I680" t="str">
        <f t="shared" si="256"/>
        <v/>
      </c>
    </row>
    <row r="681" spans="5:9" x14ac:dyDescent="0.25">
      <c r="E681" s="2" t="str">
        <f t="shared" si="254"/>
        <v/>
      </c>
      <c r="F681" t="str">
        <f t="shared" ca="1" si="255"/>
        <v/>
      </c>
      <c r="I681" t="str">
        <f t="shared" si="256"/>
        <v/>
      </c>
    </row>
    <row r="682" spans="5:9" x14ac:dyDescent="0.25">
      <c r="E682" s="2" t="str">
        <f t="shared" si="254"/>
        <v/>
      </c>
      <c r="F682" t="str">
        <f t="shared" ca="1" si="255"/>
        <v/>
      </c>
      <c r="I682" t="str">
        <f t="shared" si="256"/>
        <v/>
      </c>
    </row>
    <row r="683" spans="5:9" x14ac:dyDescent="0.25">
      <c r="E683" s="2" t="str">
        <f t="shared" si="254"/>
        <v/>
      </c>
      <c r="F683" t="str">
        <f t="shared" ca="1" si="255"/>
        <v/>
      </c>
      <c r="I683" t="str">
        <f t="shared" si="256"/>
        <v/>
      </c>
    </row>
    <row r="684" spans="5:9" x14ac:dyDescent="0.25">
      <c r="E684" s="2" t="str">
        <f t="shared" si="254"/>
        <v/>
      </c>
      <c r="F684" t="str">
        <f t="shared" ca="1" si="255"/>
        <v/>
      </c>
      <c r="I684" t="str">
        <f t="shared" si="256"/>
        <v/>
      </c>
    </row>
    <row r="685" spans="5:9" x14ac:dyDescent="0.25">
      <c r="E685" s="2" t="str">
        <f t="shared" si="254"/>
        <v/>
      </c>
      <c r="F685" t="str">
        <f t="shared" ca="1" si="255"/>
        <v/>
      </c>
      <c r="I685" t="str">
        <f t="shared" si="256"/>
        <v/>
      </c>
    </row>
    <row r="686" spans="5:9" x14ac:dyDescent="0.25">
      <c r="E686" s="2" t="str">
        <f t="shared" si="254"/>
        <v/>
      </c>
      <c r="F686" t="str">
        <f t="shared" ca="1" si="255"/>
        <v/>
      </c>
      <c r="I686" t="str">
        <f t="shared" si="256"/>
        <v/>
      </c>
    </row>
    <row r="687" spans="5:9" x14ac:dyDescent="0.25">
      <c r="E687" s="2" t="str">
        <f t="shared" si="254"/>
        <v/>
      </c>
      <c r="F687" t="str">
        <f t="shared" ca="1" si="255"/>
        <v/>
      </c>
      <c r="I687" t="str">
        <f t="shared" si="256"/>
        <v/>
      </c>
    </row>
    <row r="688" spans="5:9" x14ac:dyDescent="0.25">
      <c r="E688" s="2" t="str">
        <f t="shared" si="254"/>
        <v/>
      </c>
      <c r="F688" t="str">
        <f t="shared" ca="1" si="255"/>
        <v/>
      </c>
      <c r="I688" t="str">
        <f t="shared" si="256"/>
        <v/>
      </c>
    </row>
    <row r="689" spans="5:9" x14ac:dyDescent="0.25">
      <c r="E689" s="2" t="str">
        <f t="shared" si="254"/>
        <v/>
      </c>
      <c r="F689" t="str">
        <f t="shared" ca="1" si="255"/>
        <v/>
      </c>
      <c r="I689" t="str">
        <f t="shared" si="256"/>
        <v/>
      </c>
    </row>
    <row r="690" spans="5:9" x14ac:dyDescent="0.25">
      <c r="E690" s="2" t="str">
        <f t="shared" si="254"/>
        <v/>
      </c>
      <c r="F690" t="str">
        <f t="shared" ca="1" si="255"/>
        <v/>
      </c>
      <c r="I690" t="str">
        <f t="shared" si="256"/>
        <v/>
      </c>
    </row>
    <row r="691" spans="5:9" x14ac:dyDescent="0.25">
      <c r="E691" s="2" t="str">
        <f t="shared" si="254"/>
        <v/>
      </c>
      <c r="F691" t="str">
        <f t="shared" ca="1" si="255"/>
        <v/>
      </c>
      <c r="I691" t="str">
        <f t="shared" si="256"/>
        <v/>
      </c>
    </row>
    <row r="692" spans="5:9" x14ac:dyDescent="0.25">
      <c r="E692" s="2" t="str">
        <f t="shared" si="254"/>
        <v/>
      </c>
      <c r="F692" t="str">
        <f t="shared" ca="1" si="255"/>
        <v/>
      </c>
      <c r="I692" t="str">
        <f t="shared" si="256"/>
        <v/>
      </c>
    </row>
    <row r="693" spans="5:9" x14ac:dyDescent="0.25">
      <c r="E693" s="2" t="str">
        <f t="shared" si="254"/>
        <v/>
      </c>
      <c r="F693" t="str">
        <f t="shared" ca="1" si="255"/>
        <v/>
      </c>
      <c r="I693" t="str">
        <f t="shared" si="256"/>
        <v/>
      </c>
    </row>
    <row r="694" spans="5:9" x14ac:dyDescent="0.25">
      <c r="E694" s="2" t="str">
        <f t="shared" si="254"/>
        <v/>
      </c>
      <c r="F694" t="str">
        <f t="shared" ca="1" si="255"/>
        <v/>
      </c>
      <c r="I694" t="str">
        <f t="shared" si="256"/>
        <v/>
      </c>
    </row>
    <row r="695" spans="5:9" x14ac:dyDescent="0.25">
      <c r="E695" s="2" t="str">
        <f t="shared" si="254"/>
        <v/>
      </c>
      <c r="F695" t="str">
        <f t="shared" ca="1" si="255"/>
        <v/>
      </c>
      <c r="I695" t="str">
        <f t="shared" si="256"/>
        <v/>
      </c>
    </row>
    <row r="696" spans="5:9" x14ac:dyDescent="0.25">
      <c r="E696" s="2" t="str">
        <f t="shared" si="254"/>
        <v/>
      </c>
      <c r="F696" t="str">
        <f t="shared" ca="1" si="255"/>
        <v/>
      </c>
      <c r="I696" t="str">
        <f t="shared" si="256"/>
        <v/>
      </c>
    </row>
    <row r="697" spans="5:9" x14ac:dyDescent="0.25">
      <c r="E697" s="2" t="str">
        <f t="shared" si="254"/>
        <v/>
      </c>
      <c r="F697" t="str">
        <f t="shared" ca="1" si="255"/>
        <v/>
      </c>
      <c r="I697" t="str">
        <f t="shared" si="256"/>
        <v/>
      </c>
    </row>
    <row r="698" spans="5:9" x14ac:dyDescent="0.25">
      <c r="E698" s="2" t="str">
        <f t="shared" si="254"/>
        <v/>
      </c>
      <c r="F698" t="str">
        <f t="shared" ca="1" si="255"/>
        <v/>
      </c>
      <c r="I698" t="str">
        <f t="shared" si="256"/>
        <v/>
      </c>
    </row>
    <row r="699" spans="5:9" x14ac:dyDescent="0.25">
      <c r="E699" s="2" t="str">
        <f t="shared" si="254"/>
        <v/>
      </c>
      <c r="F699" t="str">
        <f t="shared" ca="1" si="255"/>
        <v/>
      </c>
      <c r="I699" t="str">
        <f t="shared" si="256"/>
        <v/>
      </c>
    </row>
    <row r="700" spans="5:9" x14ac:dyDescent="0.25">
      <c r="E700" s="2" t="str">
        <f t="shared" si="254"/>
        <v/>
      </c>
      <c r="F700" t="str">
        <f t="shared" ca="1" si="255"/>
        <v/>
      </c>
      <c r="I700" t="str">
        <f t="shared" si="256"/>
        <v/>
      </c>
    </row>
    <row r="701" spans="5:9" x14ac:dyDescent="0.25">
      <c r="E701" s="2" t="str">
        <f t="shared" si="254"/>
        <v/>
      </c>
      <c r="F701" t="str">
        <f t="shared" ca="1" si="255"/>
        <v/>
      </c>
      <c r="I701" t="str">
        <f t="shared" si="256"/>
        <v/>
      </c>
    </row>
    <row r="702" spans="5:9" x14ac:dyDescent="0.25">
      <c r="E702" s="2" t="str">
        <f t="shared" si="254"/>
        <v/>
      </c>
      <c r="F702" t="str">
        <f t="shared" ca="1" si="255"/>
        <v/>
      </c>
      <c r="I702" t="str">
        <f t="shared" si="256"/>
        <v/>
      </c>
    </row>
    <row r="703" spans="5:9" x14ac:dyDescent="0.25">
      <c r="E703" s="2" t="str">
        <f t="shared" si="254"/>
        <v/>
      </c>
      <c r="F703" t="str">
        <f t="shared" ca="1" si="255"/>
        <v/>
      </c>
      <c r="I703" t="str">
        <f t="shared" si="256"/>
        <v/>
      </c>
    </row>
    <row r="704" spans="5:9" x14ac:dyDescent="0.25">
      <c r="E704" s="2" t="str">
        <f t="shared" si="254"/>
        <v/>
      </c>
      <c r="F704" t="str">
        <f t="shared" ca="1" si="255"/>
        <v/>
      </c>
      <c r="I704" t="str">
        <f t="shared" si="256"/>
        <v/>
      </c>
    </row>
    <row r="705" spans="5:9" x14ac:dyDescent="0.25">
      <c r="E705" s="2" t="str">
        <f t="shared" si="254"/>
        <v/>
      </c>
      <c r="F705" t="str">
        <f t="shared" ca="1" si="255"/>
        <v/>
      </c>
      <c r="I705" t="str">
        <f t="shared" si="256"/>
        <v/>
      </c>
    </row>
    <row r="706" spans="5:9" x14ac:dyDescent="0.25">
      <c r="E706" s="2" t="str">
        <f t="shared" ref="E706:E769" si="257">IF(C706&lt;&gt;"",D706+VLOOKUP(C706,$T$2:$U$6,2,FALSE),"")</f>
        <v/>
      </c>
      <c r="F706" t="str">
        <f t="shared" ref="F706:F769" ca="1" si="258">IF(E706&lt;&gt;"",E706-TODAY(),"")</f>
        <v/>
      </c>
      <c r="I706" t="str">
        <f t="shared" ref="I706:I769" si="259">IF(H706&lt;&gt;"",H706-G706,"")</f>
        <v/>
      </c>
    </row>
    <row r="707" spans="5:9" x14ac:dyDescent="0.25">
      <c r="E707" s="2" t="str">
        <f t="shared" si="257"/>
        <v/>
      </c>
      <c r="F707" t="str">
        <f t="shared" ca="1" si="258"/>
        <v/>
      </c>
      <c r="I707" t="str">
        <f t="shared" si="259"/>
        <v/>
      </c>
    </row>
    <row r="708" spans="5:9" x14ac:dyDescent="0.25">
      <c r="E708" s="2" t="str">
        <f t="shared" si="257"/>
        <v/>
      </c>
      <c r="F708" t="str">
        <f t="shared" ca="1" si="258"/>
        <v/>
      </c>
      <c r="I708" t="str">
        <f t="shared" si="259"/>
        <v/>
      </c>
    </row>
    <row r="709" spans="5:9" x14ac:dyDescent="0.25">
      <c r="E709" s="2" t="str">
        <f t="shared" si="257"/>
        <v/>
      </c>
      <c r="F709" t="str">
        <f t="shared" ca="1" si="258"/>
        <v/>
      </c>
      <c r="I709" t="str">
        <f t="shared" si="259"/>
        <v/>
      </c>
    </row>
    <row r="710" spans="5:9" x14ac:dyDescent="0.25">
      <c r="E710" s="2" t="str">
        <f t="shared" si="257"/>
        <v/>
      </c>
      <c r="F710" t="str">
        <f t="shared" ca="1" si="258"/>
        <v/>
      </c>
      <c r="I710" t="str">
        <f t="shared" si="259"/>
        <v/>
      </c>
    </row>
    <row r="711" spans="5:9" x14ac:dyDescent="0.25">
      <c r="E711" s="2" t="str">
        <f t="shared" si="257"/>
        <v/>
      </c>
      <c r="F711" t="str">
        <f t="shared" ca="1" si="258"/>
        <v/>
      </c>
      <c r="I711" t="str">
        <f t="shared" si="259"/>
        <v/>
      </c>
    </row>
    <row r="712" spans="5:9" x14ac:dyDescent="0.25">
      <c r="E712" s="2" t="str">
        <f t="shared" si="257"/>
        <v/>
      </c>
      <c r="F712" t="str">
        <f t="shared" ca="1" si="258"/>
        <v/>
      </c>
      <c r="I712" t="str">
        <f t="shared" si="259"/>
        <v/>
      </c>
    </row>
    <row r="713" spans="5:9" x14ac:dyDescent="0.25">
      <c r="E713" s="2" t="str">
        <f t="shared" si="257"/>
        <v/>
      </c>
      <c r="F713" t="str">
        <f t="shared" ca="1" si="258"/>
        <v/>
      </c>
      <c r="I713" t="str">
        <f t="shared" si="259"/>
        <v/>
      </c>
    </row>
    <row r="714" spans="5:9" x14ac:dyDescent="0.25">
      <c r="E714" s="2" t="str">
        <f t="shared" si="257"/>
        <v/>
      </c>
      <c r="F714" t="str">
        <f t="shared" ca="1" si="258"/>
        <v/>
      </c>
      <c r="I714" t="str">
        <f t="shared" si="259"/>
        <v/>
      </c>
    </row>
    <row r="715" spans="5:9" x14ac:dyDescent="0.25">
      <c r="E715" s="2" t="str">
        <f t="shared" si="257"/>
        <v/>
      </c>
      <c r="F715" t="str">
        <f t="shared" ca="1" si="258"/>
        <v/>
      </c>
      <c r="I715" t="str">
        <f t="shared" si="259"/>
        <v/>
      </c>
    </row>
    <row r="716" spans="5:9" x14ac:dyDescent="0.25">
      <c r="E716" s="2" t="str">
        <f t="shared" si="257"/>
        <v/>
      </c>
      <c r="F716" t="str">
        <f t="shared" ca="1" si="258"/>
        <v/>
      </c>
      <c r="I716" t="str">
        <f t="shared" si="259"/>
        <v/>
      </c>
    </row>
    <row r="717" spans="5:9" x14ac:dyDescent="0.25">
      <c r="E717" s="2" t="str">
        <f t="shared" si="257"/>
        <v/>
      </c>
      <c r="F717" t="str">
        <f t="shared" ca="1" si="258"/>
        <v/>
      </c>
      <c r="I717" t="str">
        <f t="shared" si="259"/>
        <v/>
      </c>
    </row>
    <row r="718" spans="5:9" x14ac:dyDescent="0.25">
      <c r="E718" s="2" t="str">
        <f t="shared" si="257"/>
        <v/>
      </c>
      <c r="F718" t="str">
        <f t="shared" ca="1" si="258"/>
        <v/>
      </c>
      <c r="I718" t="str">
        <f t="shared" si="259"/>
        <v/>
      </c>
    </row>
    <row r="719" spans="5:9" x14ac:dyDescent="0.25">
      <c r="E719" s="2" t="str">
        <f t="shared" si="257"/>
        <v/>
      </c>
      <c r="F719" t="str">
        <f t="shared" ca="1" si="258"/>
        <v/>
      </c>
      <c r="I719" t="str">
        <f t="shared" si="259"/>
        <v/>
      </c>
    </row>
    <row r="720" spans="5:9" x14ac:dyDescent="0.25">
      <c r="E720" s="2" t="str">
        <f t="shared" si="257"/>
        <v/>
      </c>
      <c r="F720" t="str">
        <f t="shared" ca="1" si="258"/>
        <v/>
      </c>
      <c r="I720" t="str">
        <f t="shared" si="259"/>
        <v/>
      </c>
    </row>
    <row r="721" spans="5:9" x14ac:dyDescent="0.25">
      <c r="E721" s="2" t="str">
        <f t="shared" si="257"/>
        <v/>
      </c>
      <c r="F721" t="str">
        <f t="shared" ca="1" si="258"/>
        <v/>
      </c>
      <c r="I721" t="str">
        <f t="shared" si="259"/>
        <v/>
      </c>
    </row>
    <row r="722" spans="5:9" x14ac:dyDescent="0.25">
      <c r="E722" s="2" t="str">
        <f t="shared" si="257"/>
        <v/>
      </c>
      <c r="F722" t="str">
        <f t="shared" ca="1" si="258"/>
        <v/>
      </c>
      <c r="I722" t="str">
        <f t="shared" si="259"/>
        <v/>
      </c>
    </row>
    <row r="723" spans="5:9" x14ac:dyDescent="0.25">
      <c r="E723" s="2" t="str">
        <f t="shared" si="257"/>
        <v/>
      </c>
      <c r="F723" t="str">
        <f t="shared" ca="1" si="258"/>
        <v/>
      </c>
      <c r="I723" t="str">
        <f t="shared" si="259"/>
        <v/>
      </c>
    </row>
    <row r="724" spans="5:9" x14ac:dyDescent="0.25">
      <c r="E724" s="2" t="str">
        <f t="shared" si="257"/>
        <v/>
      </c>
      <c r="F724" t="str">
        <f t="shared" ca="1" si="258"/>
        <v/>
      </c>
      <c r="I724" t="str">
        <f t="shared" si="259"/>
        <v/>
      </c>
    </row>
    <row r="725" spans="5:9" x14ac:dyDescent="0.25">
      <c r="E725" s="2" t="str">
        <f t="shared" si="257"/>
        <v/>
      </c>
      <c r="F725" t="str">
        <f t="shared" ca="1" si="258"/>
        <v/>
      </c>
      <c r="I725" t="str">
        <f t="shared" si="259"/>
        <v/>
      </c>
    </row>
    <row r="726" spans="5:9" x14ac:dyDescent="0.25">
      <c r="E726" s="2" t="str">
        <f t="shared" si="257"/>
        <v/>
      </c>
      <c r="F726" t="str">
        <f t="shared" ca="1" si="258"/>
        <v/>
      </c>
      <c r="I726" t="str">
        <f t="shared" si="259"/>
        <v/>
      </c>
    </row>
    <row r="727" spans="5:9" x14ac:dyDescent="0.25">
      <c r="E727" s="2" t="str">
        <f t="shared" si="257"/>
        <v/>
      </c>
      <c r="F727" t="str">
        <f t="shared" ca="1" si="258"/>
        <v/>
      </c>
      <c r="I727" t="str">
        <f t="shared" si="259"/>
        <v/>
      </c>
    </row>
    <row r="728" spans="5:9" x14ac:dyDescent="0.25">
      <c r="E728" s="2" t="str">
        <f t="shared" si="257"/>
        <v/>
      </c>
      <c r="F728" t="str">
        <f t="shared" ca="1" si="258"/>
        <v/>
      </c>
      <c r="I728" t="str">
        <f t="shared" si="259"/>
        <v/>
      </c>
    </row>
    <row r="729" spans="5:9" x14ac:dyDescent="0.25">
      <c r="E729" s="2" t="str">
        <f t="shared" si="257"/>
        <v/>
      </c>
      <c r="F729" t="str">
        <f t="shared" ca="1" si="258"/>
        <v/>
      </c>
      <c r="I729" t="str">
        <f t="shared" si="259"/>
        <v/>
      </c>
    </row>
    <row r="730" spans="5:9" x14ac:dyDescent="0.25">
      <c r="E730" s="2" t="str">
        <f t="shared" si="257"/>
        <v/>
      </c>
      <c r="F730" t="str">
        <f t="shared" ca="1" si="258"/>
        <v/>
      </c>
      <c r="I730" t="str">
        <f t="shared" si="259"/>
        <v/>
      </c>
    </row>
    <row r="731" spans="5:9" x14ac:dyDescent="0.25">
      <c r="E731" s="2" t="str">
        <f t="shared" si="257"/>
        <v/>
      </c>
      <c r="F731" t="str">
        <f t="shared" ca="1" si="258"/>
        <v/>
      </c>
      <c r="I731" t="str">
        <f t="shared" si="259"/>
        <v/>
      </c>
    </row>
    <row r="732" spans="5:9" x14ac:dyDescent="0.25">
      <c r="E732" s="2" t="str">
        <f t="shared" si="257"/>
        <v/>
      </c>
      <c r="F732" t="str">
        <f t="shared" ca="1" si="258"/>
        <v/>
      </c>
      <c r="I732" t="str">
        <f t="shared" si="259"/>
        <v/>
      </c>
    </row>
    <row r="733" spans="5:9" x14ac:dyDescent="0.25">
      <c r="E733" s="2" t="str">
        <f t="shared" si="257"/>
        <v/>
      </c>
      <c r="F733" t="str">
        <f t="shared" ca="1" si="258"/>
        <v/>
      </c>
      <c r="I733" t="str">
        <f t="shared" si="259"/>
        <v/>
      </c>
    </row>
    <row r="734" spans="5:9" x14ac:dyDescent="0.25">
      <c r="E734" s="2" t="str">
        <f t="shared" si="257"/>
        <v/>
      </c>
      <c r="F734" t="str">
        <f t="shared" ca="1" si="258"/>
        <v/>
      </c>
      <c r="I734" t="str">
        <f t="shared" si="259"/>
        <v/>
      </c>
    </row>
    <row r="735" spans="5:9" x14ac:dyDescent="0.25">
      <c r="E735" s="2" t="str">
        <f t="shared" si="257"/>
        <v/>
      </c>
      <c r="F735" t="str">
        <f t="shared" ca="1" si="258"/>
        <v/>
      </c>
      <c r="I735" t="str">
        <f t="shared" si="259"/>
        <v/>
      </c>
    </row>
    <row r="736" spans="5:9" x14ac:dyDescent="0.25">
      <c r="E736" s="2" t="str">
        <f t="shared" si="257"/>
        <v/>
      </c>
      <c r="F736" t="str">
        <f t="shared" ca="1" si="258"/>
        <v/>
      </c>
      <c r="I736" t="str">
        <f t="shared" si="259"/>
        <v/>
      </c>
    </row>
    <row r="737" spans="5:9" x14ac:dyDescent="0.25">
      <c r="E737" s="2" t="str">
        <f t="shared" si="257"/>
        <v/>
      </c>
      <c r="F737" t="str">
        <f t="shared" ca="1" si="258"/>
        <v/>
      </c>
      <c r="I737" t="str">
        <f t="shared" si="259"/>
        <v/>
      </c>
    </row>
    <row r="738" spans="5:9" x14ac:dyDescent="0.25">
      <c r="E738" s="2" t="str">
        <f t="shared" si="257"/>
        <v/>
      </c>
      <c r="F738" t="str">
        <f t="shared" ca="1" si="258"/>
        <v/>
      </c>
      <c r="I738" t="str">
        <f t="shared" si="259"/>
        <v/>
      </c>
    </row>
    <row r="739" spans="5:9" x14ac:dyDescent="0.25">
      <c r="E739" s="2" t="str">
        <f t="shared" si="257"/>
        <v/>
      </c>
      <c r="F739" t="str">
        <f t="shared" ca="1" si="258"/>
        <v/>
      </c>
      <c r="I739" t="str">
        <f t="shared" si="259"/>
        <v/>
      </c>
    </row>
    <row r="740" spans="5:9" x14ac:dyDescent="0.25">
      <c r="E740" s="2" t="str">
        <f t="shared" si="257"/>
        <v/>
      </c>
      <c r="F740" t="str">
        <f t="shared" ca="1" si="258"/>
        <v/>
      </c>
      <c r="I740" t="str">
        <f t="shared" si="259"/>
        <v/>
      </c>
    </row>
    <row r="741" spans="5:9" x14ac:dyDescent="0.25">
      <c r="E741" s="2" t="str">
        <f t="shared" si="257"/>
        <v/>
      </c>
      <c r="F741" t="str">
        <f t="shared" ca="1" si="258"/>
        <v/>
      </c>
      <c r="I741" t="str">
        <f t="shared" si="259"/>
        <v/>
      </c>
    </row>
    <row r="742" spans="5:9" x14ac:dyDescent="0.25">
      <c r="E742" s="2" t="str">
        <f t="shared" si="257"/>
        <v/>
      </c>
      <c r="F742" t="str">
        <f t="shared" ca="1" si="258"/>
        <v/>
      </c>
      <c r="I742" t="str">
        <f t="shared" si="259"/>
        <v/>
      </c>
    </row>
    <row r="743" spans="5:9" x14ac:dyDescent="0.25">
      <c r="E743" s="2" t="str">
        <f t="shared" si="257"/>
        <v/>
      </c>
      <c r="F743" t="str">
        <f t="shared" ca="1" si="258"/>
        <v/>
      </c>
      <c r="I743" t="str">
        <f t="shared" si="259"/>
        <v/>
      </c>
    </row>
    <row r="744" spans="5:9" x14ac:dyDescent="0.25">
      <c r="E744" s="2" t="str">
        <f t="shared" si="257"/>
        <v/>
      </c>
      <c r="F744" t="str">
        <f t="shared" ca="1" si="258"/>
        <v/>
      </c>
      <c r="I744" t="str">
        <f t="shared" si="259"/>
        <v/>
      </c>
    </row>
    <row r="745" spans="5:9" x14ac:dyDescent="0.25">
      <c r="E745" s="2" t="str">
        <f t="shared" si="257"/>
        <v/>
      </c>
      <c r="F745" t="str">
        <f t="shared" ca="1" si="258"/>
        <v/>
      </c>
      <c r="I745" t="str">
        <f t="shared" si="259"/>
        <v/>
      </c>
    </row>
    <row r="746" spans="5:9" x14ac:dyDescent="0.25">
      <c r="E746" s="2" t="str">
        <f t="shared" si="257"/>
        <v/>
      </c>
      <c r="F746" t="str">
        <f t="shared" ca="1" si="258"/>
        <v/>
      </c>
      <c r="I746" t="str">
        <f t="shared" si="259"/>
        <v/>
      </c>
    </row>
    <row r="747" spans="5:9" x14ac:dyDescent="0.25">
      <c r="E747" s="2" t="str">
        <f t="shared" si="257"/>
        <v/>
      </c>
      <c r="F747" t="str">
        <f t="shared" ca="1" si="258"/>
        <v/>
      </c>
      <c r="I747" t="str">
        <f t="shared" si="259"/>
        <v/>
      </c>
    </row>
    <row r="748" spans="5:9" x14ac:dyDescent="0.25">
      <c r="E748" s="2" t="str">
        <f t="shared" si="257"/>
        <v/>
      </c>
      <c r="F748" t="str">
        <f t="shared" ca="1" si="258"/>
        <v/>
      </c>
      <c r="I748" t="str">
        <f t="shared" si="259"/>
        <v/>
      </c>
    </row>
    <row r="749" spans="5:9" x14ac:dyDescent="0.25">
      <c r="E749" s="2" t="str">
        <f t="shared" si="257"/>
        <v/>
      </c>
      <c r="F749" t="str">
        <f t="shared" ca="1" si="258"/>
        <v/>
      </c>
      <c r="I749" t="str">
        <f t="shared" si="259"/>
        <v/>
      </c>
    </row>
    <row r="750" spans="5:9" x14ac:dyDescent="0.25">
      <c r="E750" s="2" t="str">
        <f t="shared" si="257"/>
        <v/>
      </c>
      <c r="F750" t="str">
        <f t="shared" ca="1" si="258"/>
        <v/>
      </c>
      <c r="I750" t="str">
        <f t="shared" si="259"/>
        <v/>
      </c>
    </row>
    <row r="751" spans="5:9" x14ac:dyDescent="0.25">
      <c r="E751" s="2" t="str">
        <f t="shared" si="257"/>
        <v/>
      </c>
      <c r="F751" t="str">
        <f t="shared" ca="1" si="258"/>
        <v/>
      </c>
      <c r="I751" t="str">
        <f t="shared" si="259"/>
        <v/>
      </c>
    </row>
    <row r="752" spans="5:9" x14ac:dyDescent="0.25">
      <c r="E752" s="2" t="str">
        <f t="shared" si="257"/>
        <v/>
      </c>
      <c r="F752" t="str">
        <f t="shared" ca="1" si="258"/>
        <v/>
      </c>
      <c r="I752" t="str">
        <f t="shared" si="259"/>
        <v/>
      </c>
    </row>
    <row r="753" spans="5:9" x14ac:dyDescent="0.25">
      <c r="E753" s="2" t="str">
        <f t="shared" si="257"/>
        <v/>
      </c>
      <c r="F753" t="str">
        <f t="shared" ca="1" si="258"/>
        <v/>
      </c>
      <c r="I753" t="str">
        <f t="shared" si="259"/>
        <v/>
      </c>
    </row>
    <row r="754" spans="5:9" x14ac:dyDescent="0.25">
      <c r="E754" s="2" t="str">
        <f t="shared" si="257"/>
        <v/>
      </c>
      <c r="F754" t="str">
        <f t="shared" ca="1" si="258"/>
        <v/>
      </c>
      <c r="I754" t="str">
        <f t="shared" si="259"/>
        <v/>
      </c>
    </row>
    <row r="755" spans="5:9" x14ac:dyDescent="0.25">
      <c r="E755" s="2" t="str">
        <f t="shared" si="257"/>
        <v/>
      </c>
      <c r="F755" t="str">
        <f t="shared" ca="1" si="258"/>
        <v/>
      </c>
      <c r="I755" t="str">
        <f t="shared" si="259"/>
        <v/>
      </c>
    </row>
    <row r="756" spans="5:9" x14ac:dyDescent="0.25">
      <c r="E756" s="2" t="str">
        <f t="shared" si="257"/>
        <v/>
      </c>
      <c r="F756" t="str">
        <f t="shared" ca="1" si="258"/>
        <v/>
      </c>
      <c r="I756" t="str">
        <f t="shared" si="259"/>
        <v/>
      </c>
    </row>
    <row r="757" spans="5:9" x14ac:dyDescent="0.25">
      <c r="E757" s="2" t="str">
        <f t="shared" si="257"/>
        <v/>
      </c>
      <c r="F757" t="str">
        <f t="shared" ca="1" si="258"/>
        <v/>
      </c>
      <c r="I757" t="str">
        <f t="shared" si="259"/>
        <v/>
      </c>
    </row>
    <row r="758" spans="5:9" x14ac:dyDescent="0.25">
      <c r="E758" s="2" t="str">
        <f t="shared" si="257"/>
        <v/>
      </c>
      <c r="F758" t="str">
        <f t="shared" ca="1" si="258"/>
        <v/>
      </c>
      <c r="I758" t="str">
        <f t="shared" si="259"/>
        <v/>
      </c>
    </row>
    <row r="759" spans="5:9" x14ac:dyDescent="0.25">
      <c r="E759" s="2" t="str">
        <f t="shared" si="257"/>
        <v/>
      </c>
      <c r="F759" t="str">
        <f t="shared" ca="1" si="258"/>
        <v/>
      </c>
      <c r="I759" t="str">
        <f t="shared" si="259"/>
        <v/>
      </c>
    </row>
    <row r="760" spans="5:9" x14ac:dyDescent="0.25">
      <c r="E760" s="2" t="str">
        <f t="shared" si="257"/>
        <v/>
      </c>
      <c r="F760" t="str">
        <f t="shared" ca="1" si="258"/>
        <v/>
      </c>
      <c r="I760" t="str">
        <f t="shared" si="259"/>
        <v/>
      </c>
    </row>
    <row r="761" spans="5:9" x14ac:dyDescent="0.25">
      <c r="E761" s="2" t="str">
        <f t="shared" si="257"/>
        <v/>
      </c>
      <c r="F761" t="str">
        <f t="shared" ca="1" si="258"/>
        <v/>
      </c>
      <c r="I761" t="str">
        <f t="shared" si="259"/>
        <v/>
      </c>
    </row>
    <row r="762" spans="5:9" x14ac:dyDescent="0.25">
      <c r="E762" s="2" t="str">
        <f t="shared" si="257"/>
        <v/>
      </c>
      <c r="F762" t="str">
        <f t="shared" ca="1" si="258"/>
        <v/>
      </c>
      <c r="I762" t="str">
        <f t="shared" si="259"/>
        <v/>
      </c>
    </row>
    <row r="763" spans="5:9" x14ac:dyDescent="0.25">
      <c r="E763" s="2" t="str">
        <f t="shared" si="257"/>
        <v/>
      </c>
      <c r="F763" t="str">
        <f t="shared" ca="1" si="258"/>
        <v/>
      </c>
      <c r="I763" t="str">
        <f t="shared" si="259"/>
        <v/>
      </c>
    </row>
    <row r="764" spans="5:9" x14ac:dyDescent="0.25">
      <c r="E764" s="2" t="str">
        <f t="shared" si="257"/>
        <v/>
      </c>
      <c r="F764" t="str">
        <f t="shared" ca="1" si="258"/>
        <v/>
      </c>
      <c r="I764" t="str">
        <f t="shared" si="259"/>
        <v/>
      </c>
    </row>
    <row r="765" spans="5:9" x14ac:dyDescent="0.25">
      <c r="E765" s="2" t="str">
        <f t="shared" si="257"/>
        <v/>
      </c>
      <c r="F765" t="str">
        <f t="shared" ca="1" si="258"/>
        <v/>
      </c>
      <c r="I765" t="str">
        <f t="shared" si="259"/>
        <v/>
      </c>
    </row>
    <row r="766" spans="5:9" x14ac:dyDescent="0.25">
      <c r="E766" s="2" t="str">
        <f t="shared" si="257"/>
        <v/>
      </c>
      <c r="F766" t="str">
        <f t="shared" ca="1" si="258"/>
        <v/>
      </c>
      <c r="I766" t="str">
        <f t="shared" si="259"/>
        <v/>
      </c>
    </row>
    <row r="767" spans="5:9" x14ac:dyDescent="0.25">
      <c r="E767" s="2" t="str">
        <f t="shared" si="257"/>
        <v/>
      </c>
      <c r="F767" t="str">
        <f t="shared" ca="1" si="258"/>
        <v/>
      </c>
      <c r="I767" t="str">
        <f t="shared" si="259"/>
        <v/>
      </c>
    </row>
    <row r="768" spans="5:9" x14ac:dyDescent="0.25">
      <c r="E768" s="2" t="str">
        <f t="shared" si="257"/>
        <v/>
      </c>
      <c r="F768" t="str">
        <f t="shared" ca="1" si="258"/>
        <v/>
      </c>
      <c r="I768" t="str">
        <f t="shared" si="259"/>
        <v/>
      </c>
    </row>
    <row r="769" spans="5:9" x14ac:dyDescent="0.25">
      <c r="E769" s="2" t="str">
        <f t="shared" si="257"/>
        <v/>
      </c>
      <c r="F769" t="str">
        <f t="shared" ca="1" si="258"/>
        <v/>
      </c>
      <c r="I769" t="str">
        <f t="shared" si="259"/>
        <v/>
      </c>
    </row>
    <row r="770" spans="5:9" x14ac:dyDescent="0.25">
      <c r="E770" s="2" t="str">
        <f t="shared" ref="E770:E833" si="260">IF(C770&lt;&gt;"",D770+VLOOKUP(C770,$T$2:$U$6,2,FALSE),"")</f>
        <v/>
      </c>
      <c r="F770" t="str">
        <f t="shared" ref="F770:F833" ca="1" si="261">IF(E770&lt;&gt;"",E770-TODAY(),"")</f>
        <v/>
      </c>
      <c r="I770" t="str">
        <f t="shared" ref="I770:I833" si="262">IF(H770&lt;&gt;"",H770-G770,"")</f>
        <v/>
      </c>
    </row>
    <row r="771" spans="5:9" x14ac:dyDescent="0.25">
      <c r="E771" s="2" t="str">
        <f t="shared" si="260"/>
        <v/>
      </c>
      <c r="F771" t="str">
        <f t="shared" ca="1" si="261"/>
        <v/>
      </c>
      <c r="I771" t="str">
        <f t="shared" si="262"/>
        <v/>
      </c>
    </row>
    <row r="772" spans="5:9" x14ac:dyDescent="0.25">
      <c r="E772" s="2" t="str">
        <f t="shared" si="260"/>
        <v/>
      </c>
      <c r="F772" t="str">
        <f t="shared" ca="1" si="261"/>
        <v/>
      </c>
      <c r="I772" t="str">
        <f t="shared" si="262"/>
        <v/>
      </c>
    </row>
    <row r="773" spans="5:9" x14ac:dyDescent="0.25">
      <c r="E773" s="2" t="str">
        <f t="shared" si="260"/>
        <v/>
      </c>
      <c r="F773" t="str">
        <f t="shared" ca="1" si="261"/>
        <v/>
      </c>
      <c r="I773" t="str">
        <f t="shared" si="262"/>
        <v/>
      </c>
    </row>
    <row r="774" spans="5:9" x14ac:dyDescent="0.25">
      <c r="E774" s="2" t="str">
        <f t="shared" si="260"/>
        <v/>
      </c>
      <c r="F774" t="str">
        <f t="shared" ca="1" si="261"/>
        <v/>
      </c>
      <c r="I774" t="str">
        <f t="shared" si="262"/>
        <v/>
      </c>
    </row>
    <row r="775" spans="5:9" x14ac:dyDescent="0.25">
      <c r="E775" s="2" t="str">
        <f t="shared" si="260"/>
        <v/>
      </c>
      <c r="F775" t="str">
        <f t="shared" ca="1" si="261"/>
        <v/>
      </c>
      <c r="I775" t="str">
        <f t="shared" si="262"/>
        <v/>
      </c>
    </row>
    <row r="776" spans="5:9" x14ac:dyDescent="0.25">
      <c r="E776" s="2" t="str">
        <f t="shared" si="260"/>
        <v/>
      </c>
      <c r="F776" t="str">
        <f t="shared" ca="1" si="261"/>
        <v/>
      </c>
      <c r="I776" t="str">
        <f t="shared" si="262"/>
        <v/>
      </c>
    </row>
    <row r="777" spans="5:9" x14ac:dyDescent="0.25">
      <c r="E777" s="2" t="str">
        <f t="shared" si="260"/>
        <v/>
      </c>
      <c r="F777" t="str">
        <f t="shared" ca="1" si="261"/>
        <v/>
      </c>
      <c r="I777" t="str">
        <f t="shared" si="262"/>
        <v/>
      </c>
    </row>
    <row r="778" spans="5:9" x14ac:dyDescent="0.25">
      <c r="E778" s="2" t="str">
        <f t="shared" si="260"/>
        <v/>
      </c>
      <c r="F778" t="str">
        <f t="shared" ca="1" si="261"/>
        <v/>
      </c>
      <c r="I778" t="str">
        <f t="shared" si="262"/>
        <v/>
      </c>
    </row>
    <row r="779" spans="5:9" x14ac:dyDescent="0.25">
      <c r="E779" s="2" t="str">
        <f t="shared" si="260"/>
        <v/>
      </c>
      <c r="F779" t="str">
        <f t="shared" ca="1" si="261"/>
        <v/>
      </c>
      <c r="I779" t="str">
        <f t="shared" si="262"/>
        <v/>
      </c>
    </row>
    <row r="780" spans="5:9" x14ac:dyDescent="0.25">
      <c r="E780" s="2" t="str">
        <f t="shared" si="260"/>
        <v/>
      </c>
      <c r="F780" t="str">
        <f t="shared" ca="1" si="261"/>
        <v/>
      </c>
      <c r="I780" t="str">
        <f t="shared" si="262"/>
        <v/>
      </c>
    </row>
    <row r="781" spans="5:9" x14ac:dyDescent="0.25">
      <c r="E781" s="2" t="str">
        <f t="shared" si="260"/>
        <v/>
      </c>
      <c r="F781" t="str">
        <f t="shared" ca="1" si="261"/>
        <v/>
      </c>
      <c r="I781" t="str">
        <f t="shared" si="262"/>
        <v/>
      </c>
    </row>
    <row r="782" spans="5:9" x14ac:dyDescent="0.25">
      <c r="E782" s="2" t="str">
        <f t="shared" si="260"/>
        <v/>
      </c>
      <c r="F782" t="str">
        <f t="shared" ca="1" si="261"/>
        <v/>
      </c>
      <c r="I782" t="str">
        <f t="shared" si="262"/>
        <v/>
      </c>
    </row>
    <row r="783" spans="5:9" x14ac:dyDescent="0.25">
      <c r="E783" s="2" t="str">
        <f t="shared" si="260"/>
        <v/>
      </c>
      <c r="F783" t="str">
        <f t="shared" ca="1" si="261"/>
        <v/>
      </c>
      <c r="I783" t="str">
        <f t="shared" si="262"/>
        <v/>
      </c>
    </row>
    <row r="784" spans="5:9" x14ac:dyDescent="0.25">
      <c r="E784" s="2" t="str">
        <f t="shared" si="260"/>
        <v/>
      </c>
      <c r="F784" t="str">
        <f t="shared" ca="1" si="261"/>
        <v/>
      </c>
      <c r="I784" t="str">
        <f t="shared" si="262"/>
        <v/>
      </c>
    </row>
    <row r="785" spans="5:9" x14ac:dyDescent="0.25">
      <c r="E785" s="2" t="str">
        <f t="shared" si="260"/>
        <v/>
      </c>
      <c r="F785" t="str">
        <f t="shared" ca="1" si="261"/>
        <v/>
      </c>
      <c r="I785" t="str">
        <f t="shared" si="262"/>
        <v/>
      </c>
    </row>
    <row r="786" spans="5:9" x14ac:dyDescent="0.25">
      <c r="E786" s="2" t="str">
        <f t="shared" si="260"/>
        <v/>
      </c>
      <c r="F786" t="str">
        <f t="shared" ca="1" si="261"/>
        <v/>
      </c>
      <c r="I786" t="str">
        <f t="shared" si="262"/>
        <v/>
      </c>
    </row>
    <row r="787" spans="5:9" x14ac:dyDescent="0.25">
      <c r="E787" s="2" t="str">
        <f t="shared" si="260"/>
        <v/>
      </c>
      <c r="F787" t="str">
        <f t="shared" ca="1" si="261"/>
        <v/>
      </c>
      <c r="I787" t="str">
        <f t="shared" si="262"/>
        <v/>
      </c>
    </row>
    <row r="788" spans="5:9" x14ac:dyDescent="0.25">
      <c r="E788" s="2" t="str">
        <f t="shared" si="260"/>
        <v/>
      </c>
      <c r="F788" t="str">
        <f t="shared" ca="1" si="261"/>
        <v/>
      </c>
      <c r="I788" t="str">
        <f t="shared" si="262"/>
        <v/>
      </c>
    </row>
    <row r="789" spans="5:9" x14ac:dyDescent="0.25">
      <c r="E789" s="2" t="str">
        <f t="shared" si="260"/>
        <v/>
      </c>
      <c r="F789" t="str">
        <f t="shared" ca="1" si="261"/>
        <v/>
      </c>
      <c r="I789" t="str">
        <f t="shared" si="262"/>
        <v/>
      </c>
    </row>
    <row r="790" spans="5:9" x14ac:dyDescent="0.25">
      <c r="E790" s="2" t="str">
        <f t="shared" si="260"/>
        <v/>
      </c>
      <c r="F790" t="str">
        <f t="shared" ca="1" si="261"/>
        <v/>
      </c>
      <c r="I790" t="str">
        <f t="shared" si="262"/>
        <v/>
      </c>
    </row>
    <row r="791" spans="5:9" x14ac:dyDescent="0.25">
      <c r="E791" s="2" t="str">
        <f t="shared" si="260"/>
        <v/>
      </c>
      <c r="F791" t="str">
        <f t="shared" ca="1" si="261"/>
        <v/>
      </c>
      <c r="I791" t="str">
        <f t="shared" si="262"/>
        <v/>
      </c>
    </row>
    <row r="792" spans="5:9" x14ac:dyDescent="0.25">
      <c r="E792" s="2" t="str">
        <f t="shared" si="260"/>
        <v/>
      </c>
      <c r="F792" t="str">
        <f t="shared" ca="1" si="261"/>
        <v/>
      </c>
      <c r="I792" t="str">
        <f t="shared" si="262"/>
        <v/>
      </c>
    </row>
    <row r="793" spans="5:9" x14ac:dyDescent="0.25">
      <c r="E793" s="2" t="str">
        <f t="shared" si="260"/>
        <v/>
      </c>
      <c r="F793" t="str">
        <f t="shared" ca="1" si="261"/>
        <v/>
      </c>
      <c r="I793" t="str">
        <f t="shared" si="262"/>
        <v/>
      </c>
    </row>
    <row r="794" spans="5:9" x14ac:dyDescent="0.25">
      <c r="E794" s="2" t="str">
        <f t="shared" si="260"/>
        <v/>
      </c>
      <c r="F794" t="str">
        <f t="shared" ca="1" si="261"/>
        <v/>
      </c>
      <c r="I794" t="str">
        <f t="shared" si="262"/>
        <v/>
      </c>
    </row>
    <row r="795" spans="5:9" x14ac:dyDescent="0.25">
      <c r="E795" s="2" t="str">
        <f t="shared" si="260"/>
        <v/>
      </c>
      <c r="F795" t="str">
        <f t="shared" ca="1" si="261"/>
        <v/>
      </c>
      <c r="I795" t="str">
        <f t="shared" si="262"/>
        <v/>
      </c>
    </row>
    <row r="796" spans="5:9" x14ac:dyDescent="0.25">
      <c r="E796" s="2" t="str">
        <f t="shared" si="260"/>
        <v/>
      </c>
      <c r="F796" t="str">
        <f t="shared" ca="1" si="261"/>
        <v/>
      </c>
      <c r="I796" t="str">
        <f t="shared" si="262"/>
        <v/>
      </c>
    </row>
    <row r="797" spans="5:9" x14ac:dyDescent="0.25">
      <c r="E797" s="2" t="str">
        <f t="shared" si="260"/>
        <v/>
      </c>
      <c r="F797" t="str">
        <f t="shared" ca="1" si="261"/>
        <v/>
      </c>
      <c r="I797" t="str">
        <f t="shared" si="262"/>
        <v/>
      </c>
    </row>
    <row r="798" spans="5:9" x14ac:dyDescent="0.25">
      <c r="E798" s="2" t="str">
        <f t="shared" si="260"/>
        <v/>
      </c>
      <c r="F798" t="str">
        <f t="shared" ca="1" si="261"/>
        <v/>
      </c>
      <c r="I798" t="str">
        <f t="shared" si="262"/>
        <v/>
      </c>
    </row>
    <row r="799" spans="5:9" x14ac:dyDescent="0.25">
      <c r="E799" s="2" t="str">
        <f t="shared" si="260"/>
        <v/>
      </c>
      <c r="F799" t="str">
        <f t="shared" ca="1" si="261"/>
        <v/>
      </c>
      <c r="I799" t="str">
        <f t="shared" si="262"/>
        <v/>
      </c>
    </row>
    <row r="800" spans="5:9" x14ac:dyDescent="0.25">
      <c r="E800" s="2" t="str">
        <f t="shared" si="260"/>
        <v/>
      </c>
      <c r="F800" t="str">
        <f t="shared" ca="1" si="261"/>
        <v/>
      </c>
      <c r="I800" t="str">
        <f t="shared" si="262"/>
        <v/>
      </c>
    </row>
    <row r="801" spans="5:9" x14ac:dyDescent="0.25">
      <c r="E801" s="2" t="str">
        <f t="shared" si="260"/>
        <v/>
      </c>
      <c r="F801" t="str">
        <f t="shared" ca="1" si="261"/>
        <v/>
      </c>
      <c r="I801" t="str">
        <f t="shared" si="262"/>
        <v/>
      </c>
    </row>
    <row r="802" spans="5:9" x14ac:dyDescent="0.25">
      <c r="E802" s="2" t="str">
        <f t="shared" si="260"/>
        <v/>
      </c>
      <c r="F802" t="str">
        <f t="shared" ca="1" si="261"/>
        <v/>
      </c>
      <c r="I802" t="str">
        <f t="shared" si="262"/>
        <v/>
      </c>
    </row>
    <row r="803" spans="5:9" x14ac:dyDescent="0.25">
      <c r="E803" s="2" t="str">
        <f t="shared" si="260"/>
        <v/>
      </c>
      <c r="F803" t="str">
        <f t="shared" ca="1" si="261"/>
        <v/>
      </c>
      <c r="I803" t="str">
        <f t="shared" si="262"/>
        <v/>
      </c>
    </row>
    <row r="804" spans="5:9" x14ac:dyDescent="0.25">
      <c r="E804" s="2" t="str">
        <f t="shared" si="260"/>
        <v/>
      </c>
      <c r="F804" t="str">
        <f t="shared" ca="1" si="261"/>
        <v/>
      </c>
      <c r="I804" t="str">
        <f t="shared" si="262"/>
        <v/>
      </c>
    </row>
    <row r="805" spans="5:9" x14ac:dyDescent="0.25">
      <c r="E805" s="2" t="str">
        <f t="shared" si="260"/>
        <v/>
      </c>
      <c r="F805" t="str">
        <f t="shared" ca="1" si="261"/>
        <v/>
      </c>
      <c r="I805" t="str">
        <f t="shared" si="262"/>
        <v/>
      </c>
    </row>
    <row r="806" spans="5:9" x14ac:dyDescent="0.25">
      <c r="E806" s="2" t="str">
        <f t="shared" si="260"/>
        <v/>
      </c>
      <c r="F806" t="str">
        <f t="shared" ca="1" si="261"/>
        <v/>
      </c>
      <c r="I806" t="str">
        <f t="shared" si="262"/>
        <v/>
      </c>
    </row>
    <row r="807" spans="5:9" x14ac:dyDescent="0.25">
      <c r="E807" s="2" t="str">
        <f t="shared" si="260"/>
        <v/>
      </c>
      <c r="F807" t="str">
        <f t="shared" ca="1" si="261"/>
        <v/>
      </c>
      <c r="I807" t="str">
        <f t="shared" si="262"/>
        <v/>
      </c>
    </row>
    <row r="808" spans="5:9" x14ac:dyDescent="0.25">
      <c r="E808" s="2" t="str">
        <f t="shared" si="260"/>
        <v/>
      </c>
      <c r="F808" t="str">
        <f t="shared" ca="1" si="261"/>
        <v/>
      </c>
      <c r="I808" t="str">
        <f t="shared" si="262"/>
        <v/>
      </c>
    </row>
    <row r="809" spans="5:9" x14ac:dyDescent="0.25">
      <c r="E809" s="2" t="str">
        <f t="shared" si="260"/>
        <v/>
      </c>
      <c r="F809" t="str">
        <f t="shared" ca="1" si="261"/>
        <v/>
      </c>
      <c r="I809" t="str">
        <f t="shared" si="262"/>
        <v/>
      </c>
    </row>
    <row r="810" spans="5:9" x14ac:dyDescent="0.25">
      <c r="E810" s="2" t="str">
        <f t="shared" si="260"/>
        <v/>
      </c>
      <c r="F810" t="str">
        <f t="shared" ca="1" si="261"/>
        <v/>
      </c>
      <c r="I810" t="str">
        <f t="shared" si="262"/>
        <v/>
      </c>
    </row>
    <row r="811" spans="5:9" x14ac:dyDescent="0.25">
      <c r="E811" s="2" t="str">
        <f t="shared" si="260"/>
        <v/>
      </c>
      <c r="F811" t="str">
        <f t="shared" ca="1" si="261"/>
        <v/>
      </c>
      <c r="I811" t="str">
        <f t="shared" si="262"/>
        <v/>
      </c>
    </row>
    <row r="812" spans="5:9" x14ac:dyDescent="0.25">
      <c r="E812" s="2" t="str">
        <f t="shared" si="260"/>
        <v/>
      </c>
      <c r="F812" t="str">
        <f t="shared" ca="1" si="261"/>
        <v/>
      </c>
      <c r="I812" t="str">
        <f t="shared" si="262"/>
        <v/>
      </c>
    </row>
    <row r="813" spans="5:9" x14ac:dyDescent="0.25">
      <c r="E813" s="2" t="str">
        <f t="shared" si="260"/>
        <v/>
      </c>
      <c r="F813" t="str">
        <f t="shared" ca="1" si="261"/>
        <v/>
      </c>
      <c r="I813" t="str">
        <f t="shared" si="262"/>
        <v/>
      </c>
    </row>
    <row r="814" spans="5:9" x14ac:dyDescent="0.25">
      <c r="E814" s="2" t="str">
        <f t="shared" si="260"/>
        <v/>
      </c>
      <c r="F814" t="str">
        <f t="shared" ca="1" si="261"/>
        <v/>
      </c>
      <c r="I814" t="str">
        <f t="shared" si="262"/>
        <v/>
      </c>
    </row>
    <row r="815" spans="5:9" x14ac:dyDescent="0.25">
      <c r="E815" s="2" t="str">
        <f t="shared" si="260"/>
        <v/>
      </c>
      <c r="F815" t="str">
        <f t="shared" ca="1" si="261"/>
        <v/>
      </c>
      <c r="I815" t="str">
        <f t="shared" si="262"/>
        <v/>
      </c>
    </row>
    <row r="816" spans="5:9" x14ac:dyDescent="0.25">
      <c r="E816" s="2" t="str">
        <f t="shared" si="260"/>
        <v/>
      </c>
      <c r="F816" t="str">
        <f t="shared" ca="1" si="261"/>
        <v/>
      </c>
      <c r="I816" t="str">
        <f t="shared" si="262"/>
        <v/>
      </c>
    </row>
    <row r="817" spans="5:9" x14ac:dyDescent="0.25">
      <c r="E817" s="2" t="str">
        <f t="shared" si="260"/>
        <v/>
      </c>
      <c r="F817" t="str">
        <f t="shared" ca="1" si="261"/>
        <v/>
      </c>
      <c r="I817" t="str">
        <f t="shared" si="262"/>
        <v/>
      </c>
    </row>
    <row r="818" spans="5:9" x14ac:dyDescent="0.25">
      <c r="E818" s="2" t="str">
        <f t="shared" si="260"/>
        <v/>
      </c>
      <c r="F818" t="str">
        <f t="shared" ca="1" si="261"/>
        <v/>
      </c>
      <c r="I818" t="str">
        <f t="shared" si="262"/>
        <v/>
      </c>
    </row>
    <row r="819" spans="5:9" x14ac:dyDescent="0.25">
      <c r="E819" s="2" t="str">
        <f t="shared" si="260"/>
        <v/>
      </c>
      <c r="F819" t="str">
        <f t="shared" ca="1" si="261"/>
        <v/>
      </c>
      <c r="I819" t="str">
        <f t="shared" si="262"/>
        <v/>
      </c>
    </row>
    <row r="820" spans="5:9" x14ac:dyDescent="0.25">
      <c r="E820" s="2" t="str">
        <f t="shared" si="260"/>
        <v/>
      </c>
      <c r="F820" t="str">
        <f t="shared" ca="1" si="261"/>
        <v/>
      </c>
      <c r="I820" t="str">
        <f t="shared" si="262"/>
        <v/>
      </c>
    </row>
    <row r="821" spans="5:9" x14ac:dyDescent="0.25">
      <c r="E821" s="2" t="str">
        <f t="shared" si="260"/>
        <v/>
      </c>
      <c r="F821" t="str">
        <f t="shared" ca="1" si="261"/>
        <v/>
      </c>
      <c r="I821" t="str">
        <f t="shared" si="262"/>
        <v/>
      </c>
    </row>
    <row r="822" spans="5:9" x14ac:dyDescent="0.25">
      <c r="E822" s="2" t="str">
        <f t="shared" si="260"/>
        <v/>
      </c>
      <c r="F822" t="str">
        <f t="shared" ca="1" si="261"/>
        <v/>
      </c>
      <c r="I822" t="str">
        <f t="shared" si="262"/>
        <v/>
      </c>
    </row>
    <row r="823" spans="5:9" x14ac:dyDescent="0.25">
      <c r="E823" s="2" t="str">
        <f t="shared" si="260"/>
        <v/>
      </c>
      <c r="F823" t="str">
        <f t="shared" ca="1" si="261"/>
        <v/>
      </c>
      <c r="I823" t="str">
        <f t="shared" si="262"/>
        <v/>
      </c>
    </row>
    <row r="824" spans="5:9" x14ac:dyDescent="0.25">
      <c r="E824" s="2" t="str">
        <f t="shared" si="260"/>
        <v/>
      </c>
      <c r="F824" t="str">
        <f t="shared" ca="1" si="261"/>
        <v/>
      </c>
      <c r="I824" t="str">
        <f t="shared" si="262"/>
        <v/>
      </c>
    </row>
    <row r="825" spans="5:9" x14ac:dyDescent="0.25">
      <c r="E825" s="2" t="str">
        <f t="shared" si="260"/>
        <v/>
      </c>
      <c r="F825" t="str">
        <f t="shared" ca="1" si="261"/>
        <v/>
      </c>
      <c r="I825" t="str">
        <f t="shared" si="262"/>
        <v/>
      </c>
    </row>
    <row r="826" spans="5:9" x14ac:dyDescent="0.25">
      <c r="E826" s="2" t="str">
        <f t="shared" si="260"/>
        <v/>
      </c>
      <c r="F826" t="str">
        <f t="shared" ca="1" si="261"/>
        <v/>
      </c>
      <c r="I826" t="str">
        <f t="shared" si="262"/>
        <v/>
      </c>
    </row>
    <row r="827" spans="5:9" x14ac:dyDescent="0.25">
      <c r="E827" s="2" t="str">
        <f t="shared" si="260"/>
        <v/>
      </c>
      <c r="F827" t="str">
        <f t="shared" ca="1" si="261"/>
        <v/>
      </c>
      <c r="I827" t="str">
        <f t="shared" si="262"/>
        <v/>
      </c>
    </row>
    <row r="828" spans="5:9" x14ac:dyDescent="0.25">
      <c r="E828" s="2" t="str">
        <f t="shared" si="260"/>
        <v/>
      </c>
      <c r="F828" t="str">
        <f t="shared" ca="1" si="261"/>
        <v/>
      </c>
      <c r="I828" t="str">
        <f t="shared" si="262"/>
        <v/>
      </c>
    </row>
    <row r="829" spans="5:9" x14ac:dyDescent="0.25">
      <c r="E829" s="2" t="str">
        <f t="shared" si="260"/>
        <v/>
      </c>
      <c r="F829" t="str">
        <f t="shared" ca="1" si="261"/>
        <v/>
      </c>
      <c r="I829" t="str">
        <f t="shared" si="262"/>
        <v/>
      </c>
    </row>
    <row r="830" spans="5:9" x14ac:dyDescent="0.25">
      <c r="E830" s="2" t="str">
        <f t="shared" si="260"/>
        <v/>
      </c>
      <c r="F830" t="str">
        <f t="shared" ca="1" si="261"/>
        <v/>
      </c>
      <c r="I830" t="str">
        <f t="shared" si="262"/>
        <v/>
      </c>
    </row>
    <row r="831" spans="5:9" x14ac:dyDescent="0.25">
      <c r="E831" s="2" t="str">
        <f t="shared" si="260"/>
        <v/>
      </c>
      <c r="F831" t="str">
        <f t="shared" ca="1" si="261"/>
        <v/>
      </c>
      <c r="I831" t="str">
        <f t="shared" si="262"/>
        <v/>
      </c>
    </row>
    <row r="832" spans="5:9" x14ac:dyDescent="0.25">
      <c r="E832" s="2" t="str">
        <f t="shared" si="260"/>
        <v/>
      </c>
      <c r="F832" t="str">
        <f t="shared" ca="1" si="261"/>
        <v/>
      </c>
      <c r="I832" t="str">
        <f t="shared" si="262"/>
        <v/>
      </c>
    </row>
    <row r="833" spans="5:9" x14ac:dyDescent="0.25">
      <c r="E833" s="2" t="str">
        <f t="shared" si="260"/>
        <v/>
      </c>
      <c r="F833" t="str">
        <f t="shared" ca="1" si="261"/>
        <v/>
      </c>
      <c r="I833" t="str">
        <f t="shared" si="262"/>
        <v/>
      </c>
    </row>
    <row r="834" spans="5:9" x14ac:dyDescent="0.25">
      <c r="E834" s="2" t="str">
        <f t="shared" ref="E834:E897" si="263">IF(C834&lt;&gt;"",D834+VLOOKUP(C834,$T$2:$U$6,2,FALSE),"")</f>
        <v/>
      </c>
      <c r="F834" t="str">
        <f t="shared" ref="F834:F897" ca="1" si="264">IF(E834&lt;&gt;"",E834-TODAY(),"")</f>
        <v/>
      </c>
      <c r="I834" t="str">
        <f t="shared" ref="I834:I897" si="265">IF(H834&lt;&gt;"",H834-G834,"")</f>
        <v/>
      </c>
    </row>
    <row r="835" spans="5:9" x14ac:dyDescent="0.25">
      <c r="E835" s="2" t="str">
        <f t="shared" si="263"/>
        <v/>
      </c>
      <c r="F835" t="str">
        <f t="shared" ca="1" si="264"/>
        <v/>
      </c>
      <c r="I835" t="str">
        <f t="shared" si="265"/>
        <v/>
      </c>
    </row>
    <row r="836" spans="5:9" x14ac:dyDescent="0.25">
      <c r="E836" s="2" t="str">
        <f t="shared" si="263"/>
        <v/>
      </c>
      <c r="F836" t="str">
        <f t="shared" ca="1" si="264"/>
        <v/>
      </c>
      <c r="I836" t="str">
        <f t="shared" si="265"/>
        <v/>
      </c>
    </row>
    <row r="837" spans="5:9" x14ac:dyDescent="0.25">
      <c r="E837" s="2" t="str">
        <f t="shared" si="263"/>
        <v/>
      </c>
      <c r="F837" t="str">
        <f t="shared" ca="1" si="264"/>
        <v/>
      </c>
      <c r="I837" t="str">
        <f t="shared" si="265"/>
        <v/>
      </c>
    </row>
    <row r="838" spans="5:9" x14ac:dyDescent="0.25">
      <c r="E838" s="2" t="str">
        <f t="shared" si="263"/>
        <v/>
      </c>
      <c r="F838" t="str">
        <f t="shared" ca="1" si="264"/>
        <v/>
      </c>
      <c r="I838" t="str">
        <f t="shared" si="265"/>
        <v/>
      </c>
    </row>
    <row r="839" spans="5:9" x14ac:dyDescent="0.25">
      <c r="E839" s="2" t="str">
        <f t="shared" si="263"/>
        <v/>
      </c>
      <c r="F839" t="str">
        <f t="shared" ca="1" si="264"/>
        <v/>
      </c>
      <c r="I839" t="str">
        <f t="shared" si="265"/>
        <v/>
      </c>
    </row>
    <row r="840" spans="5:9" x14ac:dyDescent="0.25">
      <c r="E840" s="2" t="str">
        <f t="shared" si="263"/>
        <v/>
      </c>
      <c r="F840" t="str">
        <f t="shared" ca="1" si="264"/>
        <v/>
      </c>
      <c r="I840" t="str">
        <f t="shared" si="265"/>
        <v/>
      </c>
    </row>
    <row r="841" spans="5:9" x14ac:dyDescent="0.25">
      <c r="E841" s="2" t="str">
        <f t="shared" si="263"/>
        <v/>
      </c>
      <c r="F841" t="str">
        <f t="shared" ca="1" si="264"/>
        <v/>
      </c>
      <c r="I841" t="str">
        <f t="shared" si="265"/>
        <v/>
      </c>
    </row>
    <row r="842" spans="5:9" x14ac:dyDescent="0.25">
      <c r="E842" s="2" t="str">
        <f t="shared" si="263"/>
        <v/>
      </c>
      <c r="F842" t="str">
        <f t="shared" ca="1" si="264"/>
        <v/>
      </c>
      <c r="I842" t="str">
        <f t="shared" si="265"/>
        <v/>
      </c>
    </row>
    <row r="843" spans="5:9" x14ac:dyDescent="0.25">
      <c r="E843" s="2" t="str">
        <f t="shared" si="263"/>
        <v/>
      </c>
      <c r="F843" t="str">
        <f t="shared" ca="1" si="264"/>
        <v/>
      </c>
      <c r="I843" t="str">
        <f t="shared" si="265"/>
        <v/>
      </c>
    </row>
    <row r="844" spans="5:9" x14ac:dyDescent="0.25">
      <c r="E844" s="2" t="str">
        <f t="shared" si="263"/>
        <v/>
      </c>
      <c r="F844" t="str">
        <f t="shared" ca="1" si="264"/>
        <v/>
      </c>
      <c r="I844" t="str">
        <f t="shared" si="265"/>
        <v/>
      </c>
    </row>
    <row r="845" spans="5:9" x14ac:dyDescent="0.25">
      <c r="E845" s="2" t="str">
        <f t="shared" si="263"/>
        <v/>
      </c>
      <c r="F845" t="str">
        <f t="shared" ca="1" si="264"/>
        <v/>
      </c>
      <c r="I845" t="str">
        <f t="shared" si="265"/>
        <v/>
      </c>
    </row>
    <row r="846" spans="5:9" x14ac:dyDescent="0.25">
      <c r="E846" s="2" t="str">
        <f t="shared" si="263"/>
        <v/>
      </c>
      <c r="F846" t="str">
        <f t="shared" ca="1" si="264"/>
        <v/>
      </c>
      <c r="I846" t="str">
        <f t="shared" si="265"/>
        <v/>
      </c>
    </row>
    <row r="847" spans="5:9" x14ac:dyDescent="0.25">
      <c r="E847" s="2" t="str">
        <f t="shared" si="263"/>
        <v/>
      </c>
      <c r="F847" t="str">
        <f t="shared" ca="1" si="264"/>
        <v/>
      </c>
      <c r="I847" t="str">
        <f t="shared" si="265"/>
        <v/>
      </c>
    </row>
    <row r="848" spans="5:9" x14ac:dyDescent="0.25">
      <c r="E848" s="2" t="str">
        <f t="shared" si="263"/>
        <v/>
      </c>
      <c r="F848" t="str">
        <f t="shared" ca="1" si="264"/>
        <v/>
      </c>
      <c r="I848" t="str">
        <f t="shared" si="265"/>
        <v/>
      </c>
    </row>
    <row r="849" spans="5:9" x14ac:dyDescent="0.25">
      <c r="E849" s="2" t="str">
        <f t="shared" si="263"/>
        <v/>
      </c>
      <c r="F849" t="str">
        <f t="shared" ca="1" si="264"/>
        <v/>
      </c>
      <c r="I849" t="str">
        <f t="shared" si="265"/>
        <v/>
      </c>
    </row>
    <row r="850" spans="5:9" x14ac:dyDescent="0.25">
      <c r="E850" s="2" t="str">
        <f t="shared" si="263"/>
        <v/>
      </c>
      <c r="F850" t="str">
        <f t="shared" ca="1" si="264"/>
        <v/>
      </c>
      <c r="I850" t="str">
        <f t="shared" si="265"/>
        <v/>
      </c>
    </row>
    <row r="851" spans="5:9" x14ac:dyDescent="0.25">
      <c r="E851" s="2" t="str">
        <f t="shared" si="263"/>
        <v/>
      </c>
      <c r="F851" t="str">
        <f t="shared" ca="1" si="264"/>
        <v/>
      </c>
      <c r="I851" t="str">
        <f t="shared" si="265"/>
        <v/>
      </c>
    </row>
    <row r="852" spans="5:9" x14ac:dyDescent="0.25">
      <c r="E852" s="2" t="str">
        <f t="shared" si="263"/>
        <v/>
      </c>
      <c r="F852" t="str">
        <f t="shared" ca="1" si="264"/>
        <v/>
      </c>
      <c r="I852" t="str">
        <f t="shared" si="265"/>
        <v/>
      </c>
    </row>
    <row r="853" spans="5:9" x14ac:dyDescent="0.25">
      <c r="E853" s="2" t="str">
        <f t="shared" si="263"/>
        <v/>
      </c>
      <c r="F853" t="str">
        <f t="shared" ca="1" si="264"/>
        <v/>
      </c>
      <c r="I853" t="str">
        <f t="shared" si="265"/>
        <v/>
      </c>
    </row>
    <row r="854" spans="5:9" x14ac:dyDescent="0.25">
      <c r="E854" s="2" t="str">
        <f t="shared" si="263"/>
        <v/>
      </c>
      <c r="F854" t="str">
        <f t="shared" ca="1" si="264"/>
        <v/>
      </c>
      <c r="I854" t="str">
        <f t="shared" si="265"/>
        <v/>
      </c>
    </row>
    <row r="855" spans="5:9" x14ac:dyDescent="0.25">
      <c r="E855" s="2" t="str">
        <f t="shared" si="263"/>
        <v/>
      </c>
      <c r="F855" t="str">
        <f t="shared" ca="1" si="264"/>
        <v/>
      </c>
      <c r="I855" t="str">
        <f t="shared" si="265"/>
        <v/>
      </c>
    </row>
    <row r="856" spans="5:9" x14ac:dyDescent="0.25">
      <c r="E856" s="2" t="str">
        <f t="shared" si="263"/>
        <v/>
      </c>
      <c r="F856" t="str">
        <f t="shared" ca="1" si="264"/>
        <v/>
      </c>
      <c r="I856" t="str">
        <f t="shared" si="265"/>
        <v/>
      </c>
    </row>
    <row r="857" spans="5:9" x14ac:dyDescent="0.25">
      <c r="E857" s="2" t="str">
        <f t="shared" si="263"/>
        <v/>
      </c>
      <c r="F857" t="str">
        <f t="shared" ca="1" si="264"/>
        <v/>
      </c>
      <c r="I857" t="str">
        <f t="shared" si="265"/>
        <v/>
      </c>
    </row>
    <row r="858" spans="5:9" x14ac:dyDescent="0.25">
      <c r="E858" s="2" t="str">
        <f t="shared" si="263"/>
        <v/>
      </c>
      <c r="F858" t="str">
        <f t="shared" ca="1" si="264"/>
        <v/>
      </c>
      <c r="I858" t="str">
        <f t="shared" si="265"/>
        <v/>
      </c>
    </row>
    <row r="859" spans="5:9" x14ac:dyDescent="0.25">
      <c r="E859" s="2" t="str">
        <f t="shared" si="263"/>
        <v/>
      </c>
      <c r="F859" t="str">
        <f t="shared" ca="1" si="264"/>
        <v/>
      </c>
      <c r="I859" t="str">
        <f t="shared" si="265"/>
        <v/>
      </c>
    </row>
    <row r="860" spans="5:9" x14ac:dyDescent="0.25">
      <c r="E860" s="2" t="str">
        <f t="shared" si="263"/>
        <v/>
      </c>
      <c r="F860" t="str">
        <f t="shared" ca="1" si="264"/>
        <v/>
      </c>
      <c r="I860" t="str">
        <f t="shared" si="265"/>
        <v/>
      </c>
    </row>
    <row r="861" spans="5:9" x14ac:dyDescent="0.25">
      <c r="E861" s="2" t="str">
        <f t="shared" si="263"/>
        <v/>
      </c>
      <c r="F861" t="str">
        <f t="shared" ca="1" si="264"/>
        <v/>
      </c>
      <c r="I861" t="str">
        <f t="shared" si="265"/>
        <v/>
      </c>
    </row>
    <row r="862" spans="5:9" x14ac:dyDescent="0.25">
      <c r="E862" s="2" t="str">
        <f t="shared" si="263"/>
        <v/>
      </c>
      <c r="F862" t="str">
        <f t="shared" ca="1" si="264"/>
        <v/>
      </c>
      <c r="I862" t="str">
        <f t="shared" si="265"/>
        <v/>
      </c>
    </row>
    <row r="863" spans="5:9" x14ac:dyDescent="0.25">
      <c r="E863" s="2" t="str">
        <f t="shared" si="263"/>
        <v/>
      </c>
      <c r="F863" t="str">
        <f t="shared" ca="1" si="264"/>
        <v/>
      </c>
      <c r="I863" t="str">
        <f t="shared" si="265"/>
        <v/>
      </c>
    </row>
    <row r="864" spans="5:9" x14ac:dyDescent="0.25">
      <c r="E864" s="2" t="str">
        <f t="shared" si="263"/>
        <v/>
      </c>
      <c r="F864" t="str">
        <f t="shared" ca="1" si="264"/>
        <v/>
      </c>
      <c r="I864" t="str">
        <f t="shared" si="265"/>
        <v/>
      </c>
    </row>
    <row r="865" spans="5:9" x14ac:dyDescent="0.25">
      <c r="E865" s="2" t="str">
        <f t="shared" si="263"/>
        <v/>
      </c>
      <c r="F865" t="str">
        <f t="shared" ca="1" si="264"/>
        <v/>
      </c>
      <c r="I865" t="str">
        <f t="shared" si="265"/>
        <v/>
      </c>
    </row>
    <row r="866" spans="5:9" x14ac:dyDescent="0.25">
      <c r="E866" s="2" t="str">
        <f t="shared" si="263"/>
        <v/>
      </c>
      <c r="F866" t="str">
        <f t="shared" ca="1" si="264"/>
        <v/>
      </c>
      <c r="I866" t="str">
        <f t="shared" si="265"/>
        <v/>
      </c>
    </row>
    <row r="867" spans="5:9" x14ac:dyDescent="0.25">
      <c r="E867" s="2" t="str">
        <f t="shared" si="263"/>
        <v/>
      </c>
      <c r="F867" t="str">
        <f t="shared" ca="1" si="264"/>
        <v/>
      </c>
      <c r="I867" t="str">
        <f t="shared" si="265"/>
        <v/>
      </c>
    </row>
    <row r="868" spans="5:9" x14ac:dyDescent="0.25">
      <c r="E868" s="2" t="str">
        <f t="shared" si="263"/>
        <v/>
      </c>
      <c r="F868" t="str">
        <f t="shared" ca="1" si="264"/>
        <v/>
      </c>
      <c r="I868" t="str">
        <f t="shared" si="265"/>
        <v/>
      </c>
    </row>
    <row r="869" spans="5:9" x14ac:dyDescent="0.25">
      <c r="E869" s="2" t="str">
        <f t="shared" si="263"/>
        <v/>
      </c>
      <c r="F869" t="str">
        <f t="shared" ca="1" si="264"/>
        <v/>
      </c>
      <c r="I869" t="str">
        <f t="shared" si="265"/>
        <v/>
      </c>
    </row>
    <row r="870" spans="5:9" x14ac:dyDescent="0.25">
      <c r="E870" s="2" t="str">
        <f t="shared" si="263"/>
        <v/>
      </c>
      <c r="F870" t="str">
        <f t="shared" ca="1" si="264"/>
        <v/>
      </c>
      <c r="I870" t="str">
        <f t="shared" si="265"/>
        <v/>
      </c>
    </row>
    <row r="871" spans="5:9" x14ac:dyDescent="0.25">
      <c r="E871" s="2" t="str">
        <f t="shared" si="263"/>
        <v/>
      </c>
      <c r="F871" t="str">
        <f t="shared" ca="1" si="264"/>
        <v/>
      </c>
      <c r="I871" t="str">
        <f t="shared" si="265"/>
        <v/>
      </c>
    </row>
    <row r="872" spans="5:9" x14ac:dyDescent="0.25">
      <c r="E872" s="2" t="str">
        <f t="shared" si="263"/>
        <v/>
      </c>
      <c r="F872" t="str">
        <f t="shared" ca="1" si="264"/>
        <v/>
      </c>
      <c r="I872" t="str">
        <f t="shared" si="265"/>
        <v/>
      </c>
    </row>
    <row r="873" spans="5:9" x14ac:dyDescent="0.25">
      <c r="E873" s="2" t="str">
        <f t="shared" si="263"/>
        <v/>
      </c>
      <c r="F873" t="str">
        <f t="shared" ca="1" si="264"/>
        <v/>
      </c>
      <c r="I873" t="str">
        <f t="shared" si="265"/>
        <v/>
      </c>
    </row>
    <row r="874" spans="5:9" x14ac:dyDescent="0.25">
      <c r="E874" s="2" t="str">
        <f t="shared" si="263"/>
        <v/>
      </c>
      <c r="F874" t="str">
        <f t="shared" ca="1" si="264"/>
        <v/>
      </c>
      <c r="I874" t="str">
        <f t="shared" si="265"/>
        <v/>
      </c>
    </row>
    <row r="875" spans="5:9" x14ac:dyDescent="0.25">
      <c r="E875" s="2" t="str">
        <f t="shared" si="263"/>
        <v/>
      </c>
      <c r="F875" t="str">
        <f t="shared" ca="1" si="264"/>
        <v/>
      </c>
      <c r="I875" t="str">
        <f t="shared" si="265"/>
        <v/>
      </c>
    </row>
    <row r="876" spans="5:9" x14ac:dyDescent="0.25">
      <c r="E876" s="2" t="str">
        <f t="shared" si="263"/>
        <v/>
      </c>
      <c r="F876" t="str">
        <f t="shared" ca="1" si="264"/>
        <v/>
      </c>
      <c r="I876" t="str">
        <f t="shared" si="265"/>
        <v/>
      </c>
    </row>
    <row r="877" spans="5:9" x14ac:dyDescent="0.25">
      <c r="E877" s="2" t="str">
        <f t="shared" si="263"/>
        <v/>
      </c>
      <c r="F877" t="str">
        <f t="shared" ca="1" si="264"/>
        <v/>
      </c>
      <c r="I877" t="str">
        <f t="shared" si="265"/>
        <v/>
      </c>
    </row>
    <row r="878" spans="5:9" x14ac:dyDescent="0.25">
      <c r="E878" s="2" t="str">
        <f t="shared" si="263"/>
        <v/>
      </c>
      <c r="F878" t="str">
        <f t="shared" ca="1" si="264"/>
        <v/>
      </c>
      <c r="I878" t="str">
        <f t="shared" si="265"/>
        <v/>
      </c>
    </row>
    <row r="879" spans="5:9" x14ac:dyDescent="0.25">
      <c r="E879" s="2" t="str">
        <f t="shared" si="263"/>
        <v/>
      </c>
      <c r="F879" t="str">
        <f t="shared" ca="1" si="264"/>
        <v/>
      </c>
      <c r="I879" t="str">
        <f t="shared" si="265"/>
        <v/>
      </c>
    </row>
    <row r="880" spans="5:9" x14ac:dyDescent="0.25">
      <c r="E880" s="2" t="str">
        <f t="shared" si="263"/>
        <v/>
      </c>
      <c r="F880" t="str">
        <f t="shared" ca="1" si="264"/>
        <v/>
      </c>
      <c r="I880" t="str">
        <f t="shared" si="265"/>
        <v/>
      </c>
    </row>
    <row r="881" spans="5:9" x14ac:dyDescent="0.25">
      <c r="E881" s="2" t="str">
        <f t="shared" si="263"/>
        <v/>
      </c>
      <c r="F881" t="str">
        <f t="shared" ca="1" si="264"/>
        <v/>
      </c>
      <c r="I881" t="str">
        <f t="shared" si="265"/>
        <v/>
      </c>
    </row>
    <row r="882" spans="5:9" x14ac:dyDescent="0.25">
      <c r="E882" s="2" t="str">
        <f t="shared" si="263"/>
        <v/>
      </c>
      <c r="F882" t="str">
        <f t="shared" ca="1" si="264"/>
        <v/>
      </c>
      <c r="I882" t="str">
        <f t="shared" si="265"/>
        <v/>
      </c>
    </row>
    <row r="883" spans="5:9" x14ac:dyDescent="0.25">
      <c r="E883" s="2" t="str">
        <f t="shared" si="263"/>
        <v/>
      </c>
      <c r="F883" t="str">
        <f t="shared" ca="1" si="264"/>
        <v/>
      </c>
      <c r="I883" t="str">
        <f t="shared" si="265"/>
        <v/>
      </c>
    </row>
    <row r="884" spans="5:9" x14ac:dyDescent="0.25">
      <c r="E884" s="2" t="str">
        <f t="shared" si="263"/>
        <v/>
      </c>
      <c r="F884" t="str">
        <f t="shared" ca="1" si="264"/>
        <v/>
      </c>
      <c r="I884" t="str">
        <f t="shared" si="265"/>
        <v/>
      </c>
    </row>
    <row r="885" spans="5:9" x14ac:dyDescent="0.25">
      <c r="E885" s="2" t="str">
        <f t="shared" si="263"/>
        <v/>
      </c>
      <c r="F885" t="str">
        <f t="shared" ca="1" si="264"/>
        <v/>
      </c>
      <c r="I885" t="str">
        <f t="shared" si="265"/>
        <v/>
      </c>
    </row>
    <row r="886" spans="5:9" x14ac:dyDescent="0.25">
      <c r="E886" s="2" t="str">
        <f t="shared" si="263"/>
        <v/>
      </c>
      <c r="F886" t="str">
        <f t="shared" ca="1" si="264"/>
        <v/>
      </c>
      <c r="I886" t="str">
        <f t="shared" si="265"/>
        <v/>
      </c>
    </row>
    <row r="887" spans="5:9" x14ac:dyDescent="0.25">
      <c r="E887" s="2" t="str">
        <f t="shared" si="263"/>
        <v/>
      </c>
      <c r="F887" t="str">
        <f t="shared" ca="1" si="264"/>
        <v/>
      </c>
      <c r="I887" t="str">
        <f t="shared" si="265"/>
        <v/>
      </c>
    </row>
    <row r="888" spans="5:9" x14ac:dyDescent="0.25">
      <c r="E888" s="2" t="str">
        <f t="shared" si="263"/>
        <v/>
      </c>
      <c r="F888" t="str">
        <f t="shared" ca="1" si="264"/>
        <v/>
      </c>
      <c r="I888" t="str">
        <f t="shared" si="265"/>
        <v/>
      </c>
    </row>
    <row r="889" spans="5:9" x14ac:dyDescent="0.25">
      <c r="E889" s="2" t="str">
        <f t="shared" si="263"/>
        <v/>
      </c>
      <c r="F889" t="str">
        <f t="shared" ca="1" si="264"/>
        <v/>
      </c>
      <c r="I889" t="str">
        <f t="shared" si="265"/>
        <v/>
      </c>
    </row>
    <row r="890" spans="5:9" x14ac:dyDescent="0.25">
      <c r="E890" s="2" t="str">
        <f t="shared" si="263"/>
        <v/>
      </c>
      <c r="F890" t="str">
        <f t="shared" ca="1" si="264"/>
        <v/>
      </c>
      <c r="I890" t="str">
        <f t="shared" si="265"/>
        <v/>
      </c>
    </row>
    <row r="891" spans="5:9" x14ac:dyDescent="0.25">
      <c r="E891" s="2" t="str">
        <f t="shared" si="263"/>
        <v/>
      </c>
      <c r="F891" t="str">
        <f t="shared" ca="1" si="264"/>
        <v/>
      </c>
      <c r="I891" t="str">
        <f t="shared" si="265"/>
        <v/>
      </c>
    </row>
    <row r="892" spans="5:9" x14ac:dyDescent="0.25">
      <c r="E892" s="2" t="str">
        <f t="shared" si="263"/>
        <v/>
      </c>
      <c r="F892" t="str">
        <f t="shared" ca="1" si="264"/>
        <v/>
      </c>
      <c r="I892" t="str">
        <f t="shared" si="265"/>
        <v/>
      </c>
    </row>
    <row r="893" spans="5:9" x14ac:dyDescent="0.25">
      <c r="E893" s="2" t="str">
        <f t="shared" si="263"/>
        <v/>
      </c>
      <c r="F893" t="str">
        <f t="shared" ca="1" si="264"/>
        <v/>
      </c>
      <c r="I893" t="str">
        <f t="shared" si="265"/>
        <v/>
      </c>
    </row>
    <row r="894" spans="5:9" x14ac:dyDescent="0.25">
      <c r="E894" s="2" t="str">
        <f t="shared" si="263"/>
        <v/>
      </c>
      <c r="F894" t="str">
        <f t="shared" ca="1" si="264"/>
        <v/>
      </c>
      <c r="I894" t="str">
        <f t="shared" si="265"/>
        <v/>
      </c>
    </row>
    <row r="895" spans="5:9" x14ac:dyDescent="0.25">
      <c r="E895" s="2" t="str">
        <f t="shared" si="263"/>
        <v/>
      </c>
      <c r="F895" t="str">
        <f t="shared" ca="1" si="264"/>
        <v/>
      </c>
      <c r="I895" t="str">
        <f t="shared" si="265"/>
        <v/>
      </c>
    </row>
    <row r="896" spans="5:9" x14ac:dyDescent="0.25">
      <c r="E896" s="2" t="str">
        <f t="shared" si="263"/>
        <v/>
      </c>
      <c r="F896" t="str">
        <f t="shared" ca="1" si="264"/>
        <v/>
      </c>
      <c r="I896" t="str">
        <f t="shared" si="265"/>
        <v/>
      </c>
    </row>
    <row r="897" spans="5:9" x14ac:dyDescent="0.25">
      <c r="E897" s="2" t="str">
        <f t="shared" si="263"/>
        <v/>
      </c>
      <c r="F897" t="str">
        <f t="shared" ca="1" si="264"/>
        <v/>
      </c>
      <c r="I897" t="str">
        <f t="shared" si="265"/>
        <v/>
      </c>
    </row>
    <row r="898" spans="5:9" x14ac:dyDescent="0.25">
      <c r="E898" s="2" t="str">
        <f t="shared" ref="E898:E961" si="266">IF(C898&lt;&gt;"",D898+VLOOKUP(C898,$T$2:$U$6,2,FALSE),"")</f>
        <v/>
      </c>
      <c r="F898" t="str">
        <f t="shared" ref="F898:F961" ca="1" si="267">IF(E898&lt;&gt;"",E898-TODAY(),"")</f>
        <v/>
      </c>
      <c r="I898" t="str">
        <f t="shared" ref="I898:I961" si="268">IF(H898&lt;&gt;"",H898-G898,"")</f>
        <v/>
      </c>
    </row>
    <row r="899" spans="5:9" x14ac:dyDescent="0.25">
      <c r="E899" s="2" t="str">
        <f t="shared" si="266"/>
        <v/>
      </c>
      <c r="F899" t="str">
        <f t="shared" ca="1" si="267"/>
        <v/>
      </c>
      <c r="I899" t="str">
        <f t="shared" si="268"/>
        <v/>
      </c>
    </row>
    <row r="900" spans="5:9" x14ac:dyDescent="0.25">
      <c r="E900" s="2" t="str">
        <f t="shared" si="266"/>
        <v/>
      </c>
      <c r="F900" t="str">
        <f t="shared" ca="1" si="267"/>
        <v/>
      </c>
      <c r="I900" t="str">
        <f t="shared" si="268"/>
        <v/>
      </c>
    </row>
    <row r="901" spans="5:9" x14ac:dyDescent="0.25">
      <c r="E901" s="2" t="str">
        <f t="shared" si="266"/>
        <v/>
      </c>
      <c r="F901" t="str">
        <f t="shared" ca="1" si="267"/>
        <v/>
      </c>
      <c r="I901" t="str">
        <f t="shared" si="268"/>
        <v/>
      </c>
    </row>
    <row r="902" spans="5:9" x14ac:dyDescent="0.25">
      <c r="E902" s="2" t="str">
        <f t="shared" si="266"/>
        <v/>
      </c>
      <c r="F902" t="str">
        <f t="shared" ca="1" si="267"/>
        <v/>
      </c>
      <c r="I902" t="str">
        <f t="shared" si="268"/>
        <v/>
      </c>
    </row>
    <row r="903" spans="5:9" x14ac:dyDescent="0.25">
      <c r="E903" s="2" t="str">
        <f t="shared" si="266"/>
        <v/>
      </c>
      <c r="F903" t="str">
        <f t="shared" ca="1" si="267"/>
        <v/>
      </c>
      <c r="I903" t="str">
        <f t="shared" si="268"/>
        <v/>
      </c>
    </row>
    <row r="904" spans="5:9" x14ac:dyDescent="0.25">
      <c r="E904" s="2" t="str">
        <f t="shared" si="266"/>
        <v/>
      </c>
      <c r="F904" t="str">
        <f t="shared" ca="1" si="267"/>
        <v/>
      </c>
      <c r="I904" t="str">
        <f t="shared" si="268"/>
        <v/>
      </c>
    </row>
    <row r="905" spans="5:9" x14ac:dyDescent="0.25">
      <c r="E905" s="2" t="str">
        <f t="shared" si="266"/>
        <v/>
      </c>
      <c r="F905" t="str">
        <f t="shared" ca="1" si="267"/>
        <v/>
      </c>
      <c r="I905" t="str">
        <f t="shared" si="268"/>
        <v/>
      </c>
    </row>
    <row r="906" spans="5:9" x14ac:dyDescent="0.25">
      <c r="E906" s="2" t="str">
        <f t="shared" si="266"/>
        <v/>
      </c>
      <c r="F906" t="str">
        <f t="shared" ca="1" si="267"/>
        <v/>
      </c>
      <c r="I906" t="str">
        <f t="shared" si="268"/>
        <v/>
      </c>
    </row>
    <row r="907" spans="5:9" x14ac:dyDescent="0.25">
      <c r="E907" s="2" t="str">
        <f t="shared" si="266"/>
        <v/>
      </c>
      <c r="F907" t="str">
        <f t="shared" ca="1" si="267"/>
        <v/>
      </c>
      <c r="I907" t="str">
        <f t="shared" si="268"/>
        <v/>
      </c>
    </row>
    <row r="908" spans="5:9" x14ac:dyDescent="0.25">
      <c r="E908" s="2" t="str">
        <f t="shared" si="266"/>
        <v/>
      </c>
      <c r="F908" t="str">
        <f t="shared" ca="1" si="267"/>
        <v/>
      </c>
      <c r="I908" t="str">
        <f t="shared" si="268"/>
        <v/>
      </c>
    </row>
    <row r="909" spans="5:9" x14ac:dyDescent="0.25">
      <c r="E909" s="2" t="str">
        <f t="shared" si="266"/>
        <v/>
      </c>
      <c r="F909" t="str">
        <f t="shared" ca="1" si="267"/>
        <v/>
      </c>
      <c r="I909" t="str">
        <f t="shared" si="268"/>
        <v/>
      </c>
    </row>
    <row r="910" spans="5:9" x14ac:dyDescent="0.25">
      <c r="E910" s="2" t="str">
        <f t="shared" si="266"/>
        <v/>
      </c>
      <c r="F910" t="str">
        <f t="shared" ca="1" si="267"/>
        <v/>
      </c>
      <c r="I910" t="str">
        <f t="shared" si="268"/>
        <v/>
      </c>
    </row>
    <row r="911" spans="5:9" x14ac:dyDescent="0.25">
      <c r="E911" s="2" t="str">
        <f t="shared" si="266"/>
        <v/>
      </c>
      <c r="F911" t="str">
        <f t="shared" ca="1" si="267"/>
        <v/>
      </c>
      <c r="I911" t="str">
        <f t="shared" si="268"/>
        <v/>
      </c>
    </row>
    <row r="912" spans="5:9" x14ac:dyDescent="0.25">
      <c r="E912" s="2" t="str">
        <f t="shared" si="266"/>
        <v/>
      </c>
      <c r="F912" t="str">
        <f t="shared" ca="1" si="267"/>
        <v/>
      </c>
      <c r="I912" t="str">
        <f t="shared" si="268"/>
        <v/>
      </c>
    </row>
    <row r="913" spans="5:9" x14ac:dyDescent="0.25">
      <c r="E913" s="2" t="str">
        <f t="shared" si="266"/>
        <v/>
      </c>
      <c r="F913" t="str">
        <f t="shared" ca="1" si="267"/>
        <v/>
      </c>
      <c r="I913" t="str">
        <f t="shared" si="268"/>
        <v/>
      </c>
    </row>
    <row r="914" spans="5:9" x14ac:dyDescent="0.25">
      <c r="E914" s="2" t="str">
        <f t="shared" si="266"/>
        <v/>
      </c>
      <c r="F914" t="str">
        <f t="shared" ca="1" si="267"/>
        <v/>
      </c>
      <c r="I914" t="str">
        <f t="shared" si="268"/>
        <v/>
      </c>
    </row>
    <row r="915" spans="5:9" x14ac:dyDescent="0.25">
      <c r="E915" s="2" t="str">
        <f t="shared" si="266"/>
        <v/>
      </c>
      <c r="F915" t="str">
        <f t="shared" ca="1" si="267"/>
        <v/>
      </c>
      <c r="I915" t="str">
        <f t="shared" si="268"/>
        <v/>
      </c>
    </row>
    <row r="916" spans="5:9" x14ac:dyDescent="0.25">
      <c r="E916" s="2" t="str">
        <f t="shared" si="266"/>
        <v/>
      </c>
      <c r="F916" t="str">
        <f t="shared" ca="1" si="267"/>
        <v/>
      </c>
      <c r="I916" t="str">
        <f t="shared" si="268"/>
        <v/>
      </c>
    </row>
    <row r="917" spans="5:9" x14ac:dyDescent="0.25">
      <c r="E917" s="2" t="str">
        <f t="shared" si="266"/>
        <v/>
      </c>
      <c r="F917" t="str">
        <f t="shared" ca="1" si="267"/>
        <v/>
      </c>
      <c r="I917" t="str">
        <f t="shared" si="268"/>
        <v/>
      </c>
    </row>
    <row r="918" spans="5:9" x14ac:dyDescent="0.25">
      <c r="E918" s="2" t="str">
        <f t="shared" si="266"/>
        <v/>
      </c>
      <c r="F918" t="str">
        <f t="shared" ca="1" si="267"/>
        <v/>
      </c>
      <c r="I918" t="str">
        <f t="shared" si="268"/>
        <v/>
      </c>
    </row>
    <row r="919" spans="5:9" x14ac:dyDescent="0.25">
      <c r="E919" s="2" t="str">
        <f t="shared" si="266"/>
        <v/>
      </c>
      <c r="F919" t="str">
        <f t="shared" ca="1" si="267"/>
        <v/>
      </c>
      <c r="I919" t="str">
        <f t="shared" si="268"/>
        <v/>
      </c>
    </row>
    <row r="920" spans="5:9" x14ac:dyDescent="0.25">
      <c r="E920" s="2" t="str">
        <f t="shared" si="266"/>
        <v/>
      </c>
      <c r="F920" t="str">
        <f t="shared" ca="1" si="267"/>
        <v/>
      </c>
      <c r="I920" t="str">
        <f t="shared" si="268"/>
        <v/>
      </c>
    </row>
    <row r="921" spans="5:9" x14ac:dyDescent="0.25">
      <c r="E921" s="2" t="str">
        <f t="shared" si="266"/>
        <v/>
      </c>
      <c r="F921" t="str">
        <f t="shared" ca="1" si="267"/>
        <v/>
      </c>
      <c r="I921" t="str">
        <f t="shared" si="268"/>
        <v/>
      </c>
    </row>
    <row r="922" spans="5:9" x14ac:dyDescent="0.25">
      <c r="E922" s="2" t="str">
        <f t="shared" si="266"/>
        <v/>
      </c>
      <c r="F922" t="str">
        <f t="shared" ca="1" si="267"/>
        <v/>
      </c>
      <c r="I922" t="str">
        <f t="shared" si="268"/>
        <v/>
      </c>
    </row>
    <row r="923" spans="5:9" x14ac:dyDescent="0.25">
      <c r="E923" s="2" t="str">
        <f t="shared" si="266"/>
        <v/>
      </c>
      <c r="F923" t="str">
        <f t="shared" ca="1" si="267"/>
        <v/>
      </c>
      <c r="I923" t="str">
        <f t="shared" si="268"/>
        <v/>
      </c>
    </row>
    <row r="924" spans="5:9" x14ac:dyDescent="0.25">
      <c r="E924" s="2" t="str">
        <f t="shared" si="266"/>
        <v/>
      </c>
      <c r="F924" t="str">
        <f t="shared" ca="1" si="267"/>
        <v/>
      </c>
      <c r="I924" t="str">
        <f t="shared" si="268"/>
        <v/>
      </c>
    </row>
    <row r="925" spans="5:9" x14ac:dyDescent="0.25">
      <c r="E925" s="2" t="str">
        <f t="shared" si="266"/>
        <v/>
      </c>
      <c r="F925" t="str">
        <f t="shared" ca="1" si="267"/>
        <v/>
      </c>
      <c r="I925" t="str">
        <f t="shared" si="268"/>
        <v/>
      </c>
    </row>
    <row r="926" spans="5:9" x14ac:dyDescent="0.25">
      <c r="E926" s="2" t="str">
        <f t="shared" si="266"/>
        <v/>
      </c>
      <c r="F926" t="str">
        <f t="shared" ca="1" si="267"/>
        <v/>
      </c>
      <c r="I926" t="str">
        <f t="shared" si="268"/>
        <v/>
      </c>
    </row>
    <row r="927" spans="5:9" x14ac:dyDescent="0.25">
      <c r="E927" s="2" t="str">
        <f t="shared" si="266"/>
        <v/>
      </c>
      <c r="F927" t="str">
        <f t="shared" ca="1" si="267"/>
        <v/>
      </c>
      <c r="I927" t="str">
        <f t="shared" si="268"/>
        <v/>
      </c>
    </row>
    <row r="928" spans="5:9" x14ac:dyDescent="0.25">
      <c r="E928" s="2" t="str">
        <f t="shared" si="266"/>
        <v/>
      </c>
      <c r="F928" t="str">
        <f t="shared" ca="1" si="267"/>
        <v/>
      </c>
      <c r="I928" t="str">
        <f t="shared" si="268"/>
        <v/>
      </c>
    </row>
    <row r="929" spans="5:9" x14ac:dyDescent="0.25">
      <c r="E929" s="2" t="str">
        <f t="shared" si="266"/>
        <v/>
      </c>
      <c r="F929" t="str">
        <f t="shared" ca="1" si="267"/>
        <v/>
      </c>
      <c r="I929" t="str">
        <f t="shared" si="268"/>
        <v/>
      </c>
    </row>
    <row r="930" spans="5:9" x14ac:dyDescent="0.25">
      <c r="E930" s="2" t="str">
        <f t="shared" si="266"/>
        <v/>
      </c>
      <c r="F930" t="str">
        <f t="shared" ca="1" si="267"/>
        <v/>
      </c>
      <c r="I930" t="str">
        <f t="shared" si="268"/>
        <v/>
      </c>
    </row>
    <row r="931" spans="5:9" x14ac:dyDescent="0.25">
      <c r="E931" s="2" t="str">
        <f t="shared" si="266"/>
        <v/>
      </c>
      <c r="F931" t="str">
        <f t="shared" ca="1" si="267"/>
        <v/>
      </c>
      <c r="I931" t="str">
        <f t="shared" si="268"/>
        <v/>
      </c>
    </row>
    <row r="932" spans="5:9" x14ac:dyDescent="0.25">
      <c r="E932" s="2" t="str">
        <f t="shared" si="266"/>
        <v/>
      </c>
      <c r="F932" t="str">
        <f t="shared" ca="1" si="267"/>
        <v/>
      </c>
      <c r="I932" t="str">
        <f t="shared" si="268"/>
        <v/>
      </c>
    </row>
    <row r="933" spans="5:9" x14ac:dyDescent="0.25">
      <c r="E933" s="2" t="str">
        <f t="shared" si="266"/>
        <v/>
      </c>
      <c r="F933" t="str">
        <f t="shared" ca="1" si="267"/>
        <v/>
      </c>
      <c r="I933" t="str">
        <f t="shared" si="268"/>
        <v/>
      </c>
    </row>
    <row r="934" spans="5:9" x14ac:dyDescent="0.25">
      <c r="E934" s="2" t="str">
        <f t="shared" si="266"/>
        <v/>
      </c>
      <c r="F934" t="str">
        <f t="shared" ca="1" si="267"/>
        <v/>
      </c>
      <c r="I934" t="str">
        <f t="shared" si="268"/>
        <v/>
      </c>
    </row>
    <row r="935" spans="5:9" x14ac:dyDescent="0.25">
      <c r="E935" s="2" t="str">
        <f t="shared" si="266"/>
        <v/>
      </c>
      <c r="F935" t="str">
        <f t="shared" ca="1" si="267"/>
        <v/>
      </c>
      <c r="I935" t="str">
        <f t="shared" si="268"/>
        <v/>
      </c>
    </row>
    <row r="936" spans="5:9" x14ac:dyDescent="0.25">
      <c r="E936" s="2" t="str">
        <f t="shared" si="266"/>
        <v/>
      </c>
      <c r="F936" t="str">
        <f t="shared" ca="1" si="267"/>
        <v/>
      </c>
      <c r="I936" t="str">
        <f t="shared" si="268"/>
        <v/>
      </c>
    </row>
    <row r="937" spans="5:9" x14ac:dyDescent="0.25">
      <c r="E937" s="2" t="str">
        <f t="shared" si="266"/>
        <v/>
      </c>
      <c r="F937" t="str">
        <f t="shared" ca="1" si="267"/>
        <v/>
      </c>
      <c r="I937" t="str">
        <f t="shared" si="268"/>
        <v/>
      </c>
    </row>
    <row r="938" spans="5:9" x14ac:dyDescent="0.25">
      <c r="E938" s="2" t="str">
        <f t="shared" si="266"/>
        <v/>
      </c>
      <c r="F938" t="str">
        <f t="shared" ca="1" si="267"/>
        <v/>
      </c>
      <c r="I938" t="str">
        <f t="shared" si="268"/>
        <v/>
      </c>
    </row>
    <row r="939" spans="5:9" x14ac:dyDescent="0.25">
      <c r="E939" s="2" t="str">
        <f t="shared" si="266"/>
        <v/>
      </c>
      <c r="F939" t="str">
        <f t="shared" ca="1" si="267"/>
        <v/>
      </c>
      <c r="I939" t="str">
        <f t="shared" si="268"/>
        <v/>
      </c>
    </row>
    <row r="940" spans="5:9" x14ac:dyDescent="0.25">
      <c r="E940" s="2" t="str">
        <f t="shared" si="266"/>
        <v/>
      </c>
      <c r="F940" t="str">
        <f t="shared" ca="1" si="267"/>
        <v/>
      </c>
      <c r="I940" t="str">
        <f t="shared" si="268"/>
        <v/>
      </c>
    </row>
    <row r="941" spans="5:9" x14ac:dyDescent="0.25">
      <c r="E941" s="2" t="str">
        <f t="shared" si="266"/>
        <v/>
      </c>
      <c r="F941" t="str">
        <f t="shared" ca="1" si="267"/>
        <v/>
      </c>
      <c r="I941" t="str">
        <f t="shared" si="268"/>
        <v/>
      </c>
    </row>
    <row r="942" spans="5:9" x14ac:dyDescent="0.25">
      <c r="E942" s="2" t="str">
        <f t="shared" si="266"/>
        <v/>
      </c>
      <c r="F942" t="str">
        <f t="shared" ca="1" si="267"/>
        <v/>
      </c>
      <c r="I942" t="str">
        <f t="shared" si="268"/>
        <v/>
      </c>
    </row>
    <row r="943" spans="5:9" x14ac:dyDescent="0.25">
      <c r="E943" s="2" t="str">
        <f t="shared" si="266"/>
        <v/>
      </c>
      <c r="F943" t="str">
        <f t="shared" ca="1" si="267"/>
        <v/>
      </c>
      <c r="I943" t="str">
        <f t="shared" si="268"/>
        <v/>
      </c>
    </row>
    <row r="944" spans="5:9" x14ac:dyDescent="0.25">
      <c r="E944" s="2" t="str">
        <f t="shared" si="266"/>
        <v/>
      </c>
      <c r="F944" t="str">
        <f t="shared" ca="1" si="267"/>
        <v/>
      </c>
      <c r="I944" t="str">
        <f t="shared" si="268"/>
        <v/>
      </c>
    </row>
    <row r="945" spans="5:9" x14ac:dyDescent="0.25">
      <c r="E945" s="2" t="str">
        <f t="shared" si="266"/>
        <v/>
      </c>
      <c r="F945" t="str">
        <f t="shared" ca="1" si="267"/>
        <v/>
      </c>
      <c r="I945" t="str">
        <f t="shared" si="268"/>
        <v/>
      </c>
    </row>
    <row r="946" spans="5:9" x14ac:dyDescent="0.25">
      <c r="E946" s="2" t="str">
        <f t="shared" si="266"/>
        <v/>
      </c>
      <c r="F946" t="str">
        <f t="shared" ca="1" si="267"/>
        <v/>
      </c>
      <c r="I946" t="str">
        <f t="shared" si="268"/>
        <v/>
      </c>
    </row>
    <row r="947" spans="5:9" x14ac:dyDescent="0.25">
      <c r="E947" s="2" t="str">
        <f t="shared" si="266"/>
        <v/>
      </c>
      <c r="F947" t="str">
        <f t="shared" ca="1" si="267"/>
        <v/>
      </c>
      <c r="I947" t="str">
        <f t="shared" si="268"/>
        <v/>
      </c>
    </row>
    <row r="948" spans="5:9" x14ac:dyDescent="0.25">
      <c r="E948" s="2" t="str">
        <f t="shared" si="266"/>
        <v/>
      </c>
      <c r="F948" t="str">
        <f t="shared" ca="1" si="267"/>
        <v/>
      </c>
      <c r="I948" t="str">
        <f t="shared" si="268"/>
        <v/>
      </c>
    </row>
    <row r="949" spans="5:9" x14ac:dyDescent="0.25">
      <c r="E949" s="2" t="str">
        <f t="shared" si="266"/>
        <v/>
      </c>
      <c r="F949" t="str">
        <f t="shared" ca="1" si="267"/>
        <v/>
      </c>
      <c r="I949" t="str">
        <f t="shared" si="268"/>
        <v/>
      </c>
    </row>
    <row r="950" spans="5:9" x14ac:dyDescent="0.25">
      <c r="E950" s="2" t="str">
        <f t="shared" si="266"/>
        <v/>
      </c>
      <c r="F950" t="str">
        <f t="shared" ca="1" si="267"/>
        <v/>
      </c>
      <c r="I950" t="str">
        <f t="shared" si="268"/>
        <v/>
      </c>
    </row>
    <row r="951" spans="5:9" x14ac:dyDescent="0.25">
      <c r="E951" s="2" t="str">
        <f t="shared" si="266"/>
        <v/>
      </c>
      <c r="F951" t="str">
        <f t="shared" ca="1" si="267"/>
        <v/>
      </c>
      <c r="I951" t="str">
        <f t="shared" si="268"/>
        <v/>
      </c>
    </row>
    <row r="952" spans="5:9" x14ac:dyDescent="0.25">
      <c r="E952" s="2" t="str">
        <f t="shared" si="266"/>
        <v/>
      </c>
      <c r="F952" t="str">
        <f t="shared" ca="1" si="267"/>
        <v/>
      </c>
      <c r="I952" t="str">
        <f t="shared" si="268"/>
        <v/>
      </c>
    </row>
    <row r="953" spans="5:9" x14ac:dyDescent="0.25">
      <c r="E953" s="2" t="str">
        <f t="shared" si="266"/>
        <v/>
      </c>
      <c r="F953" t="str">
        <f t="shared" ca="1" si="267"/>
        <v/>
      </c>
      <c r="I953" t="str">
        <f t="shared" si="268"/>
        <v/>
      </c>
    </row>
    <row r="954" spans="5:9" x14ac:dyDescent="0.25">
      <c r="E954" s="2" t="str">
        <f t="shared" si="266"/>
        <v/>
      </c>
      <c r="F954" t="str">
        <f t="shared" ca="1" si="267"/>
        <v/>
      </c>
      <c r="I954" t="str">
        <f t="shared" si="268"/>
        <v/>
      </c>
    </row>
    <row r="955" spans="5:9" x14ac:dyDescent="0.25">
      <c r="E955" s="2" t="str">
        <f t="shared" si="266"/>
        <v/>
      </c>
      <c r="F955" t="str">
        <f t="shared" ca="1" si="267"/>
        <v/>
      </c>
      <c r="I955" t="str">
        <f t="shared" si="268"/>
        <v/>
      </c>
    </row>
    <row r="956" spans="5:9" x14ac:dyDescent="0.25">
      <c r="E956" s="2" t="str">
        <f t="shared" si="266"/>
        <v/>
      </c>
      <c r="F956" t="str">
        <f t="shared" ca="1" si="267"/>
        <v/>
      </c>
      <c r="I956" t="str">
        <f t="shared" si="268"/>
        <v/>
      </c>
    </row>
    <row r="957" spans="5:9" x14ac:dyDescent="0.25">
      <c r="E957" s="2" t="str">
        <f t="shared" si="266"/>
        <v/>
      </c>
      <c r="F957" t="str">
        <f t="shared" ca="1" si="267"/>
        <v/>
      </c>
      <c r="I957" t="str">
        <f t="shared" si="268"/>
        <v/>
      </c>
    </row>
    <row r="958" spans="5:9" x14ac:dyDescent="0.25">
      <c r="E958" s="2" t="str">
        <f t="shared" si="266"/>
        <v/>
      </c>
      <c r="F958" t="str">
        <f t="shared" ca="1" si="267"/>
        <v/>
      </c>
      <c r="I958" t="str">
        <f t="shared" si="268"/>
        <v/>
      </c>
    </row>
    <row r="959" spans="5:9" x14ac:dyDescent="0.25">
      <c r="E959" s="2" t="str">
        <f t="shared" si="266"/>
        <v/>
      </c>
      <c r="F959" t="str">
        <f t="shared" ca="1" si="267"/>
        <v/>
      </c>
      <c r="I959" t="str">
        <f t="shared" si="268"/>
        <v/>
      </c>
    </row>
    <row r="960" spans="5:9" x14ac:dyDescent="0.25">
      <c r="E960" s="2" t="str">
        <f t="shared" si="266"/>
        <v/>
      </c>
      <c r="F960" t="str">
        <f t="shared" ca="1" si="267"/>
        <v/>
      </c>
      <c r="I960" t="str">
        <f t="shared" si="268"/>
        <v/>
      </c>
    </row>
    <row r="961" spans="5:9" x14ac:dyDescent="0.25">
      <c r="E961" s="2" t="str">
        <f t="shared" si="266"/>
        <v/>
      </c>
      <c r="F961" t="str">
        <f t="shared" ca="1" si="267"/>
        <v/>
      </c>
      <c r="I961" t="str">
        <f t="shared" si="268"/>
        <v/>
      </c>
    </row>
    <row r="962" spans="5:9" x14ac:dyDescent="0.25">
      <c r="E962" s="2" t="str">
        <f t="shared" ref="E962:E1000" si="269">IF(C962&lt;&gt;"",D962+VLOOKUP(C962,$T$2:$U$6,2,FALSE),"")</f>
        <v/>
      </c>
      <c r="F962" t="str">
        <f t="shared" ref="F962:F1000" ca="1" si="270">IF(E962&lt;&gt;"",E962-TODAY(),"")</f>
        <v/>
      </c>
      <c r="I962" t="str">
        <f t="shared" ref="I962:I1000" si="271">IF(H962&lt;&gt;"",H962-G962,"")</f>
        <v/>
      </c>
    </row>
    <row r="963" spans="5:9" x14ac:dyDescent="0.25">
      <c r="E963" s="2" t="str">
        <f t="shared" si="269"/>
        <v/>
      </c>
      <c r="F963" t="str">
        <f t="shared" ca="1" si="270"/>
        <v/>
      </c>
      <c r="I963" t="str">
        <f t="shared" si="271"/>
        <v/>
      </c>
    </row>
    <row r="964" spans="5:9" x14ac:dyDescent="0.25">
      <c r="E964" s="2" t="str">
        <f t="shared" si="269"/>
        <v/>
      </c>
      <c r="F964" t="str">
        <f t="shared" ca="1" si="270"/>
        <v/>
      </c>
      <c r="I964" t="str">
        <f t="shared" si="271"/>
        <v/>
      </c>
    </row>
    <row r="965" spans="5:9" x14ac:dyDescent="0.25">
      <c r="E965" s="2" t="str">
        <f t="shared" si="269"/>
        <v/>
      </c>
      <c r="F965" t="str">
        <f t="shared" ca="1" si="270"/>
        <v/>
      </c>
      <c r="I965" t="str">
        <f t="shared" si="271"/>
        <v/>
      </c>
    </row>
    <row r="966" spans="5:9" x14ac:dyDescent="0.25">
      <c r="E966" s="2" t="str">
        <f t="shared" si="269"/>
        <v/>
      </c>
      <c r="F966" t="str">
        <f t="shared" ca="1" si="270"/>
        <v/>
      </c>
      <c r="I966" t="str">
        <f t="shared" si="271"/>
        <v/>
      </c>
    </row>
    <row r="967" spans="5:9" x14ac:dyDescent="0.25">
      <c r="E967" s="2" t="str">
        <f t="shared" si="269"/>
        <v/>
      </c>
      <c r="F967" t="str">
        <f t="shared" ca="1" si="270"/>
        <v/>
      </c>
      <c r="I967" t="str">
        <f t="shared" si="271"/>
        <v/>
      </c>
    </row>
    <row r="968" spans="5:9" x14ac:dyDescent="0.25">
      <c r="E968" s="2" t="str">
        <f t="shared" si="269"/>
        <v/>
      </c>
      <c r="F968" t="str">
        <f t="shared" ca="1" si="270"/>
        <v/>
      </c>
      <c r="I968" t="str">
        <f t="shared" si="271"/>
        <v/>
      </c>
    </row>
    <row r="969" spans="5:9" x14ac:dyDescent="0.25">
      <c r="E969" s="2" t="str">
        <f t="shared" si="269"/>
        <v/>
      </c>
      <c r="F969" t="str">
        <f t="shared" ca="1" si="270"/>
        <v/>
      </c>
      <c r="I969" t="str">
        <f t="shared" si="271"/>
        <v/>
      </c>
    </row>
    <row r="970" spans="5:9" x14ac:dyDescent="0.25">
      <c r="E970" s="2" t="str">
        <f t="shared" si="269"/>
        <v/>
      </c>
      <c r="F970" t="str">
        <f t="shared" ca="1" si="270"/>
        <v/>
      </c>
      <c r="I970" t="str">
        <f t="shared" si="271"/>
        <v/>
      </c>
    </row>
    <row r="971" spans="5:9" x14ac:dyDescent="0.25">
      <c r="E971" s="2" t="str">
        <f t="shared" si="269"/>
        <v/>
      </c>
      <c r="F971" t="str">
        <f t="shared" ca="1" si="270"/>
        <v/>
      </c>
      <c r="I971" t="str">
        <f t="shared" si="271"/>
        <v/>
      </c>
    </row>
    <row r="972" spans="5:9" x14ac:dyDescent="0.25">
      <c r="E972" s="2" t="str">
        <f t="shared" si="269"/>
        <v/>
      </c>
      <c r="F972" t="str">
        <f t="shared" ca="1" si="270"/>
        <v/>
      </c>
      <c r="I972" t="str">
        <f t="shared" si="271"/>
        <v/>
      </c>
    </row>
    <row r="973" spans="5:9" x14ac:dyDescent="0.25">
      <c r="E973" s="2" t="str">
        <f t="shared" si="269"/>
        <v/>
      </c>
      <c r="F973" t="str">
        <f t="shared" ca="1" si="270"/>
        <v/>
      </c>
      <c r="I973" t="str">
        <f t="shared" si="271"/>
        <v/>
      </c>
    </row>
    <row r="974" spans="5:9" x14ac:dyDescent="0.25">
      <c r="E974" s="2" t="str">
        <f t="shared" si="269"/>
        <v/>
      </c>
      <c r="F974" t="str">
        <f t="shared" ca="1" si="270"/>
        <v/>
      </c>
      <c r="I974" t="str">
        <f t="shared" si="271"/>
        <v/>
      </c>
    </row>
    <row r="975" spans="5:9" x14ac:dyDescent="0.25">
      <c r="E975" s="2" t="str">
        <f t="shared" si="269"/>
        <v/>
      </c>
      <c r="F975" t="str">
        <f t="shared" ca="1" si="270"/>
        <v/>
      </c>
      <c r="I975" t="str">
        <f t="shared" si="271"/>
        <v/>
      </c>
    </row>
    <row r="976" spans="5:9" x14ac:dyDescent="0.25">
      <c r="E976" s="2" t="str">
        <f t="shared" si="269"/>
        <v/>
      </c>
      <c r="F976" t="str">
        <f t="shared" ca="1" si="270"/>
        <v/>
      </c>
      <c r="I976" t="str">
        <f t="shared" si="271"/>
        <v/>
      </c>
    </row>
    <row r="977" spans="5:9" x14ac:dyDescent="0.25">
      <c r="E977" s="2" t="str">
        <f t="shared" si="269"/>
        <v/>
      </c>
      <c r="F977" t="str">
        <f t="shared" ca="1" si="270"/>
        <v/>
      </c>
      <c r="I977" t="str">
        <f t="shared" si="271"/>
        <v/>
      </c>
    </row>
    <row r="978" spans="5:9" x14ac:dyDescent="0.25">
      <c r="E978" s="2" t="str">
        <f t="shared" si="269"/>
        <v/>
      </c>
      <c r="F978" t="str">
        <f t="shared" ca="1" si="270"/>
        <v/>
      </c>
      <c r="I978" t="str">
        <f t="shared" si="271"/>
        <v/>
      </c>
    </row>
    <row r="979" spans="5:9" x14ac:dyDescent="0.25">
      <c r="E979" s="2" t="str">
        <f t="shared" si="269"/>
        <v/>
      </c>
      <c r="F979" t="str">
        <f t="shared" ca="1" si="270"/>
        <v/>
      </c>
      <c r="I979" t="str">
        <f t="shared" si="271"/>
        <v/>
      </c>
    </row>
    <row r="980" spans="5:9" x14ac:dyDescent="0.25">
      <c r="E980" s="2" t="str">
        <f t="shared" si="269"/>
        <v/>
      </c>
      <c r="F980" t="str">
        <f t="shared" ca="1" si="270"/>
        <v/>
      </c>
      <c r="I980" t="str">
        <f t="shared" si="271"/>
        <v/>
      </c>
    </row>
    <row r="981" spans="5:9" x14ac:dyDescent="0.25">
      <c r="E981" s="2" t="str">
        <f t="shared" si="269"/>
        <v/>
      </c>
      <c r="F981" t="str">
        <f t="shared" ca="1" si="270"/>
        <v/>
      </c>
      <c r="I981" t="str">
        <f t="shared" si="271"/>
        <v/>
      </c>
    </row>
    <row r="982" spans="5:9" x14ac:dyDescent="0.25">
      <c r="E982" s="2" t="str">
        <f t="shared" si="269"/>
        <v/>
      </c>
      <c r="F982" t="str">
        <f t="shared" ca="1" si="270"/>
        <v/>
      </c>
      <c r="I982" t="str">
        <f t="shared" si="271"/>
        <v/>
      </c>
    </row>
    <row r="983" spans="5:9" x14ac:dyDescent="0.25">
      <c r="E983" s="2" t="str">
        <f t="shared" si="269"/>
        <v/>
      </c>
      <c r="F983" t="str">
        <f t="shared" ca="1" si="270"/>
        <v/>
      </c>
      <c r="I983" t="str">
        <f t="shared" si="271"/>
        <v/>
      </c>
    </row>
    <row r="984" spans="5:9" x14ac:dyDescent="0.25">
      <c r="E984" s="2" t="str">
        <f t="shared" si="269"/>
        <v/>
      </c>
      <c r="F984" t="str">
        <f t="shared" ca="1" si="270"/>
        <v/>
      </c>
      <c r="I984" t="str">
        <f t="shared" si="271"/>
        <v/>
      </c>
    </row>
    <row r="985" spans="5:9" x14ac:dyDescent="0.25">
      <c r="E985" s="2" t="str">
        <f t="shared" si="269"/>
        <v/>
      </c>
      <c r="F985" t="str">
        <f t="shared" ca="1" si="270"/>
        <v/>
      </c>
      <c r="I985" t="str">
        <f t="shared" si="271"/>
        <v/>
      </c>
    </row>
    <row r="986" spans="5:9" x14ac:dyDescent="0.25">
      <c r="E986" s="2" t="str">
        <f t="shared" si="269"/>
        <v/>
      </c>
      <c r="F986" t="str">
        <f t="shared" ca="1" si="270"/>
        <v/>
      </c>
      <c r="I986" t="str">
        <f t="shared" si="271"/>
        <v/>
      </c>
    </row>
    <row r="987" spans="5:9" x14ac:dyDescent="0.25">
      <c r="E987" s="2" t="str">
        <f t="shared" si="269"/>
        <v/>
      </c>
      <c r="F987" t="str">
        <f t="shared" ca="1" si="270"/>
        <v/>
      </c>
      <c r="I987" t="str">
        <f t="shared" si="271"/>
        <v/>
      </c>
    </row>
    <row r="988" spans="5:9" x14ac:dyDescent="0.25">
      <c r="E988" s="2" t="str">
        <f t="shared" si="269"/>
        <v/>
      </c>
      <c r="F988" t="str">
        <f t="shared" ca="1" si="270"/>
        <v/>
      </c>
      <c r="I988" t="str">
        <f t="shared" si="271"/>
        <v/>
      </c>
    </row>
    <row r="989" spans="5:9" x14ac:dyDescent="0.25">
      <c r="E989" s="2" t="str">
        <f t="shared" si="269"/>
        <v/>
      </c>
      <c r="F989" t="str">
        <f t="shared" ca="1" si="270"/>
        <v/>
      </c>
      <c r="I989" t="str">
        <f t="shared" si="271"/>
        <v/>
      </c>
    </row>
    <row r="990" spans="5:9" x14ac:dyDescent="0.25">
      <c r="E990" s="2" t="str">
        <f t="shared" si="269"/>
        <v/>
      </c>
      <c r="F990" t="str">
        <f t="shared" ca="1" si="270"/>
        <v/>
      </c>
      <c r="I990" t="str">
        <f t="shared" si="271"/>
        <v/>
      </c>
    </row>
    <row r="991" spans="5:9" x14ac:dyDescent="0.25">
      <c r="E991" s="2" t="str">
        <f t="shared" si="269"/>
        <v/>
      </c>
      <c r="F991" t="str">
        <f t="shared" ca="1" si="270"/>
        <v/>
      </c>
      <c r="I991" t="str">
        <f t="shared" si="271"/>
        <v/>
      </c>
    </row>
    <row r="992" spans="5:9" x14ac:dyDescent="0.25">
      <c r="E992" s="2" t="str">
        <f t="shared" si="269"/>
        <v/>
      </c>
      <c r="F992" t="str">
        <f t="shared" ca="1" si="270"/>
        <v/>
      </c>
      <c r="I992" t="str">
        <f t="shared" si="271"/>
        <v/>
      </c>
    </row>
    <row r="993" spans="5:9" x14ac:dyDescent="0.25">
      <c r="E993" s="2" t="str">
        <f t="shared" si="269"/>
        <v/>
      </c>
      <c r="F993" t="str">
        <f t="shared" ca="1" si="270"/>
        <v/>
      </c>
      <c r="I993" t="str">
        <f t="shared" si="271"/>
        <v/>
      </c>
    </row>
    <row r="994" spans="5:9" x14ac:dyDescent="0.25">
      <c r="E994" s="2" t="str">
        <f t="shared" si="269"/>
        <v/>
      </c>
      <c r="F994" t="str">
        <f t="shared" ca="1" si="270"/>
        <v/>
      </c>
      <c r="I994" t="str">
        <f t="shared" si="271"/>
        <v/>
      </c>
    </row>
    <row r="995" spans="5:9" x14ac:dyDescent="0.25">
      <c r="E995" s="2" t="str">
        <f t="shared" si="269"/>
        <v/>
      </c>
      <c r="F995" t="str">
        <f t="shared" ca="1" si="270"/>
        <v/>
      </c>
      <c r="I995" t="str">
        <f t="shared" si="271"/>
        <v/>
      </c>
    </row>
    <row r="996" spans="5:9" x14ac:dyDescent="0.25">
      <c r="E996" s="2" t="str">
        <f t="shared" si="269"/>
        <v/>
      </c>
      <c r="F996" t="str">
        <f t="shared" ca="1" si="270"/>
        <v/>
      </c>
      <c r="I996" t="str">
        <f t="shared" si="271"/>
        <v/>
      </c>
    </row>
    <row r="997" spans="5:9" x14ac:dyDescent="0.25">
      <c r="E997" s="2" t="str">
        <f t="shared" si="269"/>
        <v/>
      </c>
      <c r="F997" t="str">
        <f t="shared" ca="1" si="270"/>
        <v/>
      </c>
      <c r="I997" t="str">
        <f t="shared" si="271"/>
        <v/>
      </c>
    </row>
    <row r="998" spans="5:9" x14ac:dyDescent="0.25">
      <c r="E998" s="2" t="str">
        <f t="shared" si="269"/>
        <v/>
      </c>
      <c r="F998" t="str">
        <f t="shared" ca="1" si="270"/>
        <v/>
      </c>
      <c r="I998" t="str">
        <f t="shared" si="271"/>
        <v/>
      </c>
    </row>
    <row r="999" spans="5:9" x14ac:dyDescent="0.25">
      <c r="E999" s="2" t="str">
        <f t="shared" si="269"/>
        <v/>
      </c>
      <c r="F999" t="str">
        <f t="shared" ca="1" si="270"/>
        <v/>
      </c>
      <c r="I999" t="str">
        <f t="shared" si="271"/>
        <v/>
      </c>
    </row>
    <row r="1000" spans="5:9" x14ac:dyDescent="0.25">
      <c r="E1000" s="2" t="str">
        <f t="shared" si="269"/>
        <v/>
      </c>
      <c r="F1000" t="str">
        <f t="shared" ca="1" si="270"/>
        <v/>
      </c>
      <c r="I1000" t="str">
        <f t="shared" si="271"/>
        <v/>
      </c>
    </row>
  </sheetData>
  <conditionalFormatting sqref="I2:I39 O2:O39 E2:F40 A40:A46 C41:G46 D41:D49 G41:G49 I40:O40 I41:L49 N41:O49 N40:N49 A47:G49 A50:O51 A52:F52 H52:O52 A53:O54 A56:A60 C55:C61 C56:M61 G55:H61 J55:M61 A55:M55 O55:O61 A62:A64 C62:O64 A65:O71 D66:D72 L66:M72 A72:A73 C72:O73 C73:D76 G73:H76 J66:J76 K64:K76 L73:L76 M72:M76 N64:N76 C82:O83 C83:C88 H83:H88 L83:N88 K121:K128 C125:O125 A142 C142:O142 A143:O144 J142:N144 A145 O145 A126:O141 C167:O167 A147:O166 O194 B186:O186 A187:O193 B195:O195 A84:O124 A74:O81 A168:O185 A196:O233 A235:O289 B290:O291 L270:L293 M270:M292 N269:N294 A292:O1000">
    <cfRule type="expression" dxfId="899" priority="906">
      <formula>AND($E2&lt;&gt;"",$F2&gt;4)</formula>
    </cfRule>
    <cfRule type="expression" dxfId="898" priority="907">
      <formula>AND($E2&lt;&gt;"",$F2&lt;=4,$F2&gt;0)</formula>
    </cfRule>
    <cfRule type="expression" dxfId="897" priority="908">
      <formula>AND($E2&lt;&gt;"",$F2&lt;=0)</formula>
    </cfRule>
  </conditionalFormatting>
  <conditionalFormatting sqref="J147:J193 J40:J144 J195:J233 J235:J1000">
    <cfRule type="expression" dxfId="896" priority="909">
      <formula>$J40="Pending"</formula>
    </cfRule>
  </conditionalFormatting>
  <conditionalFormatting sqref="A31:A39">
    <cfRule type="expression" dxfId="895" priority="903">
      <formula>AND($E31&lt;&gt;"",$F31&gt;4)</formula>
    </cfRule>
    <cfRule type="expression" dxfId="894" priority="904">
      <formula>AND($E31&lt;&gt;"",$F31&lt;=4,$F31&gt;0)</formula>
    </cfRule>
    <cfRule type="expression" dxfId="893" priority="905">
      <formula>AND($E31&lt;&gt;"",$F31&lt;=0)</formula>
    </cfRule>
  </conditionalFormatting>
  <conditionalFormatting sqref="A29:A30">
    <cfRule type="expression" dxfId="892" priority="900">
      <formula>AND($E29&lt;&gt;"",$F29&gt;4)</formula>
    </cfRule>
    <cfRule type="expression" dxfId="891" priority="901">
      <formula>AND($E29&lt;&gt;"",$F29&lt;=4,$F29&gt;0)</formula>
    </cfRule>
    <cfRule type="expression" dxfId="890" priority="902">
      <formula>AND($E29&lt;&gt;"",$F29&lt;=0)</formula>
    </cfRule>
  </conditionalFormatting>
  <conditionalFormatting sqref="A2:A12 A14:A28">
    <cfRule type="expression" dxfId="889" priority="897">
      <formula>AND($E2&lt;&gt;"",$F2&gt;4)</formula>
    </cfRule>
    <cfRule type="expression" dxfId="888" priority="898">
      <formula>AND($E2&lt;&gt;"",$F2&lt;=4,$F2&gt;0)</formula>
    </cfRule>
    <cfRule type="expression" dxfId="887" priority="899">
      <formula>AND($E2&lt;&gt;"",$F2&lt;=0)</formula>
    </cfRule>
  </conditionalFormatting>
  <conditionalFormatting sqref="B31 B37:B39">
    <cfRule type="expression" dxfId="886" priority="894">
      <formula>AND($E31&lt;&gt;"",$F31&gt;4)</formula>
    </cfRule>
    <cfRule type="expression" dxfId="885" priority="895">
      <formula>AND($E31&lt;&gt;"",$F31&lt;=4,$F31&gt;0)</formula>
    </cfRule>
    <cfRule type="expression" dxfId="884" priority="896">
      <formula>AND($E31&lt;&gt;"",$F31&lt;=0)</formula>
    </cfRule>
  </conditionalFormatting>
  <conditionalFormatting sqref="B2:B12 B14:B28">
    <cfRule type="expression" dxfId="883" priority="891">
      <formula>AND($E2&lt;&gt;"",$F2&gt;4)</formula>
    </cfRule>
    <cfRule type="expression" dxfId="882" priority="892">
      <formula>AND($E2&lt;&gt;"",$F2&lt;=4,$F2&gt;0)</formula>
    </cfRule>
    <cfRule type="expression" dxfId="881" priority="893">
      <formula>AND($E2&lt;&gt;"",$F2&lt;=0)</formula>
    </cfRule>
  </conditionalFormatting>
  <conditionalFormatting sqref="B29">
    <cfRule type="expression" dxfId="880" priority="888">
      <formula>AND($E29&lt;&gt;"",$F29&gt;4)</formula>
    </cfRule>
    <cfRule type="expression" dxfId="879" priority="889">
      <formula>AND($E29&lt;&gt;"",$F29&lt;=4,$F29&gt;0)</formula>
    </cfRule>
    <cfRule type="expression" dxfId="878" priority="890">
      <formula>AND($E29&lt;&gt;"",$F29&lt;=0)</formula>
    </cfRule>
  </conditionalFormatting>
  <conditionalFormatting sqref="B31">
    <cfRule type="expression" dxfId="877" priority="885">
      <formula>AND($E30&lt;&gt;"",$F30&gt;4)</formula>
    </cfRule>
    <cfRule type="expression" dxfId="876" priority="886">
      <formula>AND($E30&lt;&gt;"",$F30&lt;=4,$F30&gt;0)</formula>
    </cfRule>
    <cfRule type="expression" dxfId="875" priority="887">
      <formula>AND($E30&lt;&gt;"",$F30&lt;=0)</formula>
    </cfRule>
  </conditionalFormatting>
  <conditionalFormatting sqref="B30">
    <cfRule type="expression" dxfId="874" priority="882">
      <formula>AND($E30&lt;&gt;"",$F30&gt;4)</formula>
    </cfRule>
    <cfRule type="expression" dxfId="873" priority="883">
      <formula>AND($E30&lt;&gt;"",$F30&lt;=4,$F30&gt;0)</formula>
    </cfRule>
    <cfRule type="expression" dxfId="872" priority="884">
      <formula>AND($E30&lt;&gt;"",$F30&lt;=0)</formula>
    </cfRule>
  </conditionalFormatting>
  <conditionalFormatting sqref="B30">
    <cfRule type="expression" dxfId="871" priority="879">
      <formula>AND($E29&lt;&gt;"",$F29&gt;4)</formula>
    </cfRule>
    <cfRule type="expression" dxfId="870" priority="880">
      <formula>AND($E29&lt;&gt;"",$F29&lt;=4,$F29&gt;0)</formula>
    </cfRule>
    <cfRule type="expression" dxfId="869" priority="881">
      <formula>AND($E29&lt;&gt;"",$F29&lt;=0)</formula>
    </cfRule>
  </conditionalFormatting>
  <conditionalFormatting sqref="B32">
    <cfRule type="expression" dxfId="868" priority="876">
      <formula>AND($E32&lt;&gt;"",$F32&gt;4)</formula>
    </cfRule>
    <cfRule type="expression" dxfId="867" priority="877">
      <formula>AND($E32&lt;&gt;"",$F32&lt;=4,$F32&gt;0)</formula>
    </cfRule>
    <cfRule type="expression" dxfId="866" priority="878">
      <formula>AND($E32&lt;&gt;"",$F32&lt;=0)</formula>
    </cfRule>
  </conditionalFormatting>
  <conditionalFormatting sqref="B32">
    <cfRule type="expression" dxfId="865" priority="873">
      <formula>AND($E31&lt;&gt;"",$F31&gt;4)</formula>
    </cfRule>
    <cfRule type="expression" dxfId="864" priority="874">
      <formula>AND($E31&lt;&gt;"",$F31&lt;=4,$F31&gt;0)</formula>
    </cfRule>
    <cfRule type="expression" dxfId="863" priority="875">
      <formula>AND($E31&lt;&gt;"",$F31&lt;=0)</formula>
    </cfRule>
  </conditionalFormatting>
  <conditionalFormatting sqref="B33">
    <cfRule type="expression" dxfId="862" priority="870">
      <formula>AND($E33&lt;&gt;"",$F33&gt;4)</formula>
    </cfRule>
    <cfRule type="expression" dxfId="861" priority="871">
      <formula>AND($E33&lt;&gt;"",$F33&lt;=4,$F33&gt;0)</formula>
    </cfRule>
    <cfRule type="expression" dxfId="860" priority="872">
      <formula>AND($E33&lt;&gt;"",$F33&lt;=0)</formula>
    </cfRule>
  </conditionalFormatting>
  <conditionalFormatting sqref="B33">
    <cfRule type="expression" dxfId="859" priority="867">
      <formula>AND($E32&lt;&gt;"",$F32&gt;4)</formula>
    </cfRule>
    <cfRule type="expression" dxfId="858" priority="868">
      <formula>AND($E32&lt;&gt;"",$F32&lt;=4,$F32&gt;0)</formula>
    </cfRule>
    <cfRule type="expression" dxfId="857" priority="869">
      <formula>AND($E32&lt;&gt;"",$F32&lt;=0)</formula>
    </cfRule>
  </conditionalFormatting>
  <conditionalFormatting sqref="B34">
    <cfRule type="expression" dxfId="856" priority="864">
      <formula>AND($E34&lt;&gt;"",$F34&gt;4)</formula>
    </cfRule>
    <cfRule type="expression" dxfId="855" priority="865">
      <formula>AND($E34&lt;&gt;"",$F34&lt;=4,$F34&gt;0)</formula>
    </cfRule>
    <cfRule type="expression" dxfId="854" priority="866">
      <formula>AND($E34&lt;&gt;"",$F34&lt;=0)</formula>
    </cfRule>
  </conditionalFormatting>
  <conditionalFormatting sqref="B34">
    <cfRule type="expression" dxfId="853" priority="861">
      <formula>AND($E33&lt;&gt;"",$F33&gt;4)</formula>
    </cfRule>
    <cfRule type="expression" dxfId="852" priority="862">
      <formula>AND($E33&lt;&gt;"",$F33&lt;=4,$F33&gt;0)</formula>
    </cfRule>
    <cfRule type="expression" dxfId="851" priority="863">
      <formula>AND($E33&lt;&gt;"",$F33&lt;=0)</formula>
    </cfRule>
  </conditionalFormatting>
  <conditionalFormatting sqref="B35">
    <cfRule type="expression" dxfId="850" priority="858">
      <formula>AND($E35&lt;&gt;"",$F35&gt;4)</formula>
    </cfRule>
    <cfRule type="expression" dxfId="849" priority="859">
      <formula>AND($E35&lt;&gt;"",$F35&lt;=4,$F35&gt;0)</formula>
    </cfRule>
    <cfRule type="expression" dxfId="848" priority="860">
      <formula>AND($E35&lt;&gt;"",$F35&lt;=0)</formula>
    </cfRule>
  </conditionalFormatting>
  <conditionalFormatting sqref="B35">
    <cfRule type="expression" dxfId="847" priority="855">
      <formula>AND($E34&lt;&gt;"",$F34&gt;4)</formula>
    </cfRule>
    <cfRule type="expression" dxfId="846" priority="856">
      <formula>AND($E34&lt;&gt;"",$F34&lt;=4,$F34&gt;0)</formula>
    </cfRule>
    <cfRule type="expression" dxfId="845" priority="857">
      <formula>AND($E34&lt;&gt;"",$F34&lt;=0)</formula>
    </cfRule>
  </conditionalFormatting>
  <conditionalFormatting sqref="B36:B39">
    <cfRule type="expression" dxfId="844" priority="852">
      <formula>AND($E36&lt;&gt;"",$F36&gt;4)</formula>
    </cfRule>
    <cfRule type="expression" dxfId="843" priority="853">
      <formula>AND($E36&lt;&gt;"",$F36&lt;=4,$F36&gt;0)</formula>
    </cfRule>
    <cfRule type="expression" dxfId="842" priority="854">
      <formula>AND($E36&lt;&gt;"",$F36&lt;=0)</formula>
    </cfRule>
  </conditionalFormatting>
  <conditionalFormatting sqref="B36:B39">
    <cfRule type="expression" dxfId="841" priority="849">
      <formula>AND($E35&lt;&gt;"",$F35&gt;4)</formula>
    </cfRule>
    <cfRule type="expression" dxfId="840" priority="850">
      <formula>AND($E35&lt;&gt;"",$F35&lt;=4,$F35&gt;0)</formula>
    </cfRule>
    <cfRule type="expression" dxfId="839" priority="851">
      <formula>AND($E35&lt;&gt;"",$F35&lt;=0)</formula>
    </cfRule>
  </conditionalFormatting>
  <conditionalFormatting sqref="C2:C39">
    <cfRule type="expression" dxfId="838" priority="846">
      <formula>AND($E2&lt;&gt;"",$F2&gt;4)</formula>
    </cfRule>
    <cfRule type="expression" dxfId="837" priority="847">
      <formula>AND($E2&lt;&gt;"",$F2&lt;=4,$F2&gt;0)</formula>
    </cfRule>
    <cfRule type="expression" dxfId="836" priority="848">
      <formula>AND($E2&lt;&gt;"",$F2&lt;=0)</formula>
    </cfRule>
  </conditionalFormatting>
  <conditionalFormatting sqref="D33:D39">
    <cfRule type="expression" dxfId="835" priority="843">
      <formula>AND($E33&lt;&gt;"",$F33&gt;4)</formula>
    </cfRule>
    <cfRule type="expression" dxfId="834" priority="844">
      <formula>AND($E33&lt;&gt;"",$F33&lt;=4,$F33&gt;0)</formula>
    </cfRule>
    <cfRule type="expression" dxfId="833" priority="845">
      <formula>AND($E33&lt;&gt;"",$F33&lt;=0)</formula>
    </cfRule>
  </conditionalFormatting>
  <conditionalFormatting sqref="D30">
    <cfRule type="expression" dxfId="832" priority="840">
      <formula>AND($E30&lt;&gt;"",$F30&gt;4)</formula>
    </cfRule>
    <cfRule type="expression" dxfId="831" priority="841">
      <formula>AND($E30&lt;&gt;"",$F30&lt;=4,$F30&gt;0)</formula>
    </cfRule>
    <cfRule type="expression" dxfId="830" priority="842">
      <formula>AND($E30&lt;&gt;"",$F30&lt;=0)</formula>
    </cfRule>
  </conditionalFormatting>
  <conditionalFormatting sqref="D2:D28">
    <cfRule type="expression" dxfId="829" priority="837">
      <formula>AND($E2&lt;&gt;"",$F2&gt;4)</formula>
    </cfRule>
    <cfRule type="expression" dxfId="828" priority="838">
      <formula>AND($E2&lt;&gt;"",$F2&lt;=4,$F2&gt;0)</formula>
    </cfRule>
    <cfRule type="expression" dxfId="827" priority="839">
      <formula>AND($E2&lt;&gt;"",$F2&lt;=0)</formula>
    </cfRule>
  </conditionalFormatting>
  <conditionalFormatting sqref="G2:G30 G32:G39">
    <cfRule type="expression" dxfId="826" priority="834">
      <formula>AND($E2&lt;&gt;"",$F2&gt;4)</formula>
    </cfRule>
    <cfRule type="expression" dxfId="825" priority="835">
      <formula>AND($E2&lt;&gt;"",$F2&lt;=4,$F2&gt;0)</formula>
    </cfRule>
    <cfRule type="expression" dxfId="824" priority="836">
      <formula>AND($E2&lt;&gt;"",$F2&lt;=0)</formula>
    </cfRule>
  </conditionalFormatting>
  <conditionalFormatting sqref="G32">
    <cfRule type="expression" dxfId="823" priority="831">
      <formula>AND($E31&lt;&gt;"",$F31&gt;4)</formula>
    </cfRule>
    <cfRule type="expression" dxfId="822" priority="832">
      <formula>AND($E31&lt;&gt;"",$F31&lt;=4,$F31&gt;0)</formula>
    </cfRule>
    <cfRule type="expression" dxfId="821" priority="833">
      <formula>AND($E31&lt;&gt;"",$F31&lt;=0)</formula>
    </cfRule>
  </conditionalFormatting>
  <conditionalFormatting sqref="G31">
    <cfRule type="expression" dxfId="820" priority="828">
      <formula>AND($E31&lt;&gt;"",$F31&gt;4)</formula>
    </cfRule>
    <cfRule type="expression" dxfId="819" priority="829">
      <formula>AND($E31&lt;&gt;"",$F31&lt;=4,$F31&gt;0)</formula>
    </cfRule>
    <cfRule type="expression" dxfId="818" priority="830">
      <formula>AND($E31&lt;&gt;"",$F31&lt;=0)</formula>
    </cfRule>
  </conditionalFormatting>
  <conditionalFormatting sqref="G31">
    <cfRule type="expression" dxfId="817" priority="825">
      <formula>AND($E30&lt;&gt;"",$F30&gt;4)</formula>
    </cfRule>
    <cfRule type="expression" dxfId="816" priority="826">
      <formula>AND($E30&lt;&gt;"",$F30&lt;=4,$F30&gt;0)</formula>
    </cfRule>
    <cfRule type="expression" dxfId="815" priority="827">
      <formula>AND($E30&lt;&gt;"",$F30&lt;=0)</formula>
    </cfRule>
  </conditionalFormatting>
  <conditionalFormatting sqref="G33">
    <cfRule type="expression" dxfId="814" priority="822">
      <formula>AND($E32&lt;&gt;"",$F32&gt;4)</formula>
    </cfRule>
    <cfRule type="expression" dxfId="813" priority="823">
      <formula>AND($E32&lt;&gt;"",$F32&lt;=4,$F32&gt;0)</formula>
    </cfRule>
    <cfRule type="expression" dxfId="812" priority="824">
      <formula>AND($E32&lt;&gt;"",$F32&lt;=0)</formula>
    </cfRule>
  </conditionalFormatting>
  <conditionalFormatting sqref="G34">
    <cfRule type="expression" dxfId="811" priority="819">
      <formula>AND($E33&lt;&gt;"",$F33&gt;4)</formula>
    </cfRule>
    <cfRule type="expression" dxfId="810" priority="820">
      <formula>AND($E33&lt;&gt;"",$F33&lt;=4,$F33&gt;0)</formula>
    </cfRule>
    <cfRule type="expression" dxfId="809" priority="821">
      <formula>AND($E33&lt;&gt;"",$F33&lt;=0)</formula>
    </cfRule>
  </conditionalFormatting>
  <conditionalFormatting sqref="G35">
    <cfRule type="expression" dxfId="808" priority="816">
      <formula>AND($E34&lt;&gt;"",$F34&gt;4)</formula>
    </cfRule>
    <cfRule type="expression" dxfId="807" priority="817">
      <formula>AND($E34&lt;&gt;"",$F34&lt;=4,$F34&gt;0)</formula>
    </cfRule>
    <cfRule type="expression" dxfId="806" priority="818">
      <formula>AND($E34&lt;&gt;"",$F34&lt;=0)</formula>
    </cfRule>
  </conditionalFormatting>
  <conditionalFormatting sqref="G36:G39">
    <cfRule type="expression" dxfId="805" priority="813">
      <formula>AND($E35&lt;&gt;"",$F35&gt;4)</formula>
    </cfRule>
    <cfRule type="expression" dxfId="804" priority="814">
      <formula>AND($E35&lt;&gt;"",$F35&lt;=4,$F35&gt;0)</formula>
    </cfRule>
    <cfRule type="expression" dxfId="803" priority="815">
      <formula>AND($E35&lt;&gt;"",$F35&lt;=0)</formula>
    </cfRule>
  </conditionalFormatting>
  <conditionalFormatting sqref="H2:H39">
    <cfRule type="expression" dxfId="802" priority="810">
      <formula>AND($E2&lt;&gt;"",$F2&gt;4)</formula>
    </cfRule>
    <cfRule type="expression" dxfId="801" priority="811">
      <formula>AND($E2&lt;&gt;"",$F2&lt;=4,$F2&gt;0)</formula>
    </cfRule>
    <cfRule type="expression" dxfId="800" priority="812">
      <formula>AND($E2&lt;&gt;"",$F2&lt;=0)</formula>
    </cfRule>
  </conditionalFormatting>
  <conditionalFormatting sqref="J2:J39">
    <cfRule type="expression" dxfId="799" priority="807">
      <formula>AND($E2&lt;&gt;"",$F2&gt;4)</formula>
    </cfRule>
    <cfRule type="expression" dxfId="798" priority="808">
      <formula>AND($E2&lt;&gt;"",$F2&lt;=4,$F2&gt;0)</formula>
    </cfRule>
    <cfRule type="expression" dxfId="797" priority="809">
      <formula>AND($E2&lt;&gt;"",$F2&lt;=0)</formula>
    </cfRule>
  </conditionalFormatting>
  <conditionalFormatting sqref="K2:K39">
    <cfRule type="expression" dxfId="796" priority="804">
      <formula>AND($E2&lt;&gt;"",$F2&gt;4)</formula>
    </cfRule>
    <cfRule type="expression" dxfId="795" priority="805">
      <formula>AND($E2&lt;&gt;"",$F2&lt;=4,$F2&gt;0)</formula>
    </cfRule>
    <cfRule type="expression" dxfId="794" priority="806">
      <formula>AND($E2&lt;&gt;"",$F2&lt;=0)</formula>
    </cfRule>
  </conditionalFormatting>
  <conditionalFormatting sqref="L2:L39">
    <cfRule type="expression" dxfId="793" priority="801">
      <formula>AND($E2&lt;&gt;"",$F2&gt;4)</formula>
    </cfRule>
    <cfRule type="expression" dxfId="792" priority="802">
      <formula>AND($E2&lt;&gt;"",$F2&lt;=4,$F2&gt;0)</formula>
    </cfRule>
    <cfRule type="expression" dxfId="791" priority="803">
      <formula>AND($E2&lt;&gt;"",$F2&lt;=0)</formula>
    </cfRule>
  </conditionalFormatting>
  <conditionalFormatting sqref="M2:M39">
    <cfRule type="expression" dxfId="790" priority="798">
      <formula>AND($E2&lt;&gt;"",$F2&gt;4)</formula>
    </cfRule>
    <cfRule type="expression" dxfId="789" priority="799">
      <formula>AND($E2&lt;&gt;"",$F2&lt;=4,$F2&gt;0)</formula>
    </cfRule>
    <cfRule type="expression" dxfId="788" priority="800">
      <formula>AND($E2&lt;&gt;"",$F2&lt;=0)</formula>
    </cfRule>
  </conditionalFormatting>
  <conditionalFormatting sqref="N2:N39">
    <cfRule type="expression" dxfId="787" priority="795">
      <formula>AND($E2&lt;&gt;"",$F2&gt;4)</formula>
    </cfRule>
    <cfRule type="expression" dxfId="786" priority="796">
      <formula>AND($E2&lt;&gt;"",$F2&lt;=4,$F2&gt;0)</formula>
    </cfRule>
    <cfRule type="expression" dxfId="785" priority="797">
      <formula>AND($E2&lt;&gt;"",$F2&lt;=0)</formula>
    </cfRule>
  </conditionalFormatting>
  <conditionalFormatting sqref="D29">
    <cfRule type="expression" dxfId="784" priority="792">
      <formula>AND($E29&lt;&gt;"",$F29&gt;4)</formula>
    </cfRule>
    <cfRule type="expression" dxfId="783" priority="793">
      <formula>AND($E29&lt;&gt;"",$F29&lt;=4,$F29&gt;0)</formula>
    </cfRule>
    <cfRule type="expression" dxfId="782" priority="794">
      <formula>AND($E29&lt;&gt;"",$F29&lt;=0)</formula>
    </cfRule>
  </conditionalFormatting>
  <conditionalFormatting sqref="D31">
    <cfRule type="expression" dxfId="781" priority="789">
      <formula>AND($E31&lt;&gt;"",$F31&gt;4)</formula>
    </cfRule>
    <cfRule type="expression" dxfId="780" priority="790">
      <formula>AND($E31&lt;&gt;"",$F31&lt;=4,$F31&gt;0)</formula>
    </cfRule>
    <cfRule type="expression" dxfId="779" priority="791">
      <formula>AND($E31&lt;&gt;"",$F31&lt;=0)</formula>
    </cfRule>
  </conditionalFormatting>
  <conditionalFormatting sqref="D32">
    <cfRule type="expression" dxfId="778" priority="786">
      <formula>AND($E32&lt;&gt;"",$F32&gt;4)</formula>
    </cfRule>
    <cfRule type="expression" dxfId="777" priority="787">
      <formula>AND($E32&lt;&gt;"",$F32&lt;=4,$F32&gt;0)</formula>
    </cfRule>
    <cfRule type="expression" dxfId="776" priority="788">
      <formula>AND($E32&lt;&gt;"",$F32&lt;=0)</formula>
    </cfRule>
  </conditionalFormatting>
  <conditionalFormatting sqref="B40">
    <cfRule type="expression" dxfId="775" priority="783">
      <formula>AND($E40&lt;&gt;"",$F40&gt;4)</formula>
    </cfRule>
    <cfRule type="expression" dxfId="774" priority="784">
      <formula>AND($E40&lt;&gt;"",$F40&lt;=4,$F40&gt;0)</formula>
    </cfRule>
    <cfRule type="expression" dxfId="773" priority="785">
      <formula>AND($E40&lt;&gt;"",$F40&lt;=0)</formula>
    </cfRule>
  </conditionalFormatting>
  <conditionalFormatting sqref="C40:C49">
    <cfRule type="expression" dxfId="772" priority="780">
      <formula>AND($E40&lt;&gt;"",$F40&gt;4)</formula>
    </cfRule>
    <cfRule type="expression" dxfId="771" priority="781">
      <formula>AND($E40&lt;&gt;"",$F40&lt;=4,$F40&gt;0)</formula>
    </cfRule>
    <cfRule type="expression" dxfId="770" priority="782">
      <formula>AND($E40&lt;&gt;"",$F40&lt;=0)</formula>
    </cfRule>
  </conditionalFormatting>
  <conditionalFormatting sqref="D40">
    <cfRule type="expression" dxfId="769" priority="777">
      <formula>AND($E40&lt;&gt;"",$F40&gt;4)</formula>
    </cfRule>
    <cfRule type="expression" dxfId="768" priority="778">
      <formula>AND($E40&lt;&gt;"",$F40&lt;=4,$F40&gt;0)</formula>
    </cfRule>
    <cfRule type="expression" dxfId="767" priority="779">
      <formula>AND($E40&lt;&gt;"",$F40&lt;=0)</formula>
    </cfRule>
  </conditionalFormatting>
  <conditionalFormatting sqref="G40">
    <cfRule type="expression" dxfId="766" priority="774">
      <formula>AND($E40&lt;&gt;"",$F40&gt;4)</formula>
    </cfRule>
    <cfRule type="expression" dxfId="765" priority="775">
      <formula>AND($E40&lt;&gt;"",$F40&lt;=4,$F40&gt;0)</formula>
    </cfRule>
    <cfRule type="expression" dxfId="764" priority="776">
      <formula>AND($E40&lt;&gt;"",$F40&lt;=0)</formula>
    </cfRule>
  </conditionalFormatting>
  <conditionalFormatting sqref="H40">
    <cfRule type="expression" dxfId="763" priority="771">
      <formula>AND($E40&lt;&gt;"",$F40&gt;4)</formula>
    </cfRule>
    <cfRule type="expression" dxfId="762" priority="772">
      <formula>AND($E40&lt;&gt;"",$F40&lt;=4,$F40&gt;0)</formula>
    </cfRule>
    <cfRule type="expression" dxfId="761" priority="773">
      <formula>AND($E40&lt;&gt;"",$F40&lt;=0)</formula>
    </cfRule>
  </conditionalFormatting>
  <conditionalFormatting sqref="B41:B50">
    <cfRule type="expression" dxfId="760" priority="768">
      <formula>AND($E41&lt;&gt;"",$F41&gt;4)</formula>
    </cfRule>
    <cfRule type="expression" dxfId="759" priority="769">
      <formula>AND($E41&lt;&gt;"",$F41&lt;=4,$F41&gt;0)</formula>
    </cfRule>
    <cfRule type="expression" dxfId="758" priority="770">
      <formula>AND($E41&lt;&gt;"",$F41&lt;=0)</formula>
    </cfRule>
  </conditionalFormatting>
  <conditionalFormatting sqref="B41:B50">
    <cfRule type="expression" dxfId="757" priority="765">
      <formula>AND($E41&lt;&gt;"",$F41&gt;4)</formula>
    </cfRule>
    <cfRule type="expression" dxfId="756" priority="766">
      <formula>AND($E41&lt;&gt;"",$F41&lt;=4,$F41&gt;0)</formula>
    </cfRule>
    <cfRule type="expression" dxfId="755" priority="767">
      <formula>AND($E41&lt;&gt;"",$F41&lt;=0)</formula>
    </cfRule>
  </conditionalFormatting>
  <conditionalFormatting sqref="B41:B50">
    <cfRule type="expression" dxfId="754" priority="762">
      <formula>AND($E40&lt;&gt;"",$F40&gt;4)</formula>
    </cfRule>
    <cfRule type="expression" dxfId="753" priority="763">
      <formula>AND($E40&lt;&gt;"",$F40&lt;=4,$F40&gt;0)</formula>
    </cfRule>
    <cfRule type="expression" dxfId="752" priority="764">
      <formula>AND($E40&lt;&gt;"",$F40&lt;=0)</formula>
    </cfRule>
  </conditionalFormatting>
  <conditionalFormatting sqref="H41:H49">
    <cfRule type="expression" dxfId="751" priority="759">
      <formula>AND($E41&lt;&gt;"",$F41&gt;4)</formula>
    </cfRule>
    <cfRule type="expression" dxfId="750" priority="760">
      <formula>AND($E41&lt;&gt;"",$F41&lt;=4,$F41&gt;0)</formula>
    </cfRule>
    <cfRule type="expression" dxfId="749" priority="761">
      <formula>AND($E41&lt;&gt;"",$F41&lt;=0)</formula>
    </cfRule>
  </conditionalFormatting>
  <conditionalFormatting sqref="M41:M49">
    <cfRule type="expression" dxfId="748" priority="756">
      <formula>AND($E41&lt;&gt;"",$F41&gt;4)</formula>
    </cfRule>
    <cfRule type="expression" dxfId="747" priority="757">
      <formula>AND($E41&lt;&gt;"",$F41&lt;=4,$F41&gt;0)</formula>
    </cfRule>
    <cfRule type="expression" dxfId="746" priority="758">
      <formula>AND($E41&lt;&gt;"",$F41&lt;=0)</formula>
    </cfRule>
  </conditionalFormatting>
  <conditionalFormatting sqref="B52">
    <cfRule type="expression" dxfId="745" priority="753">
      <formula>AND($E52&lt;&gt;"",$F52&gt;4)</formula>
    </cfRule>
    <cfRule type="expression" dxfId="744" priority="754">
      <formula>AND($E52&lt;&gt;"",$F52&lt;=4,$F52&gt;0)</formula>
    </cfRule>
    <cfRule type="expression" dxfId="743" priority="755">
      <formula>AND($E52&lt;&gt;"",$F52&lt;=0)</formula>
    </cfRule>
  </conditionalFormatting>
  <conditionalFormatting sqref="B52">
    <cfRule type="expression" dxfId="742" priority="750">
      <formula>AND($E52&lt;&gt;"",$F52&gt;4)</formula>
    </cfRule>
    <cfRule type="expression" dxfId="741" priority="751">
      <formula>AND($E52&lt;&gt;"",$F52&lt;=4,$F52&gt;0)</formula>
    </cfRule>
    <cfRule type="expression" dxfId="740" priority="752">
      <formula>AND($E52&lt;&gt;"",$F52&lt;=0)</formula>
    </cfRule>
  </conditionalFormatting>
  <conditionalFormatting sqref="B52">
    <cfRule type="expression" dxfId="739" priority="747">
      <formula>AND($E51&lt;&gt;"",$F51&gt;4)</formula>
    </cfRule>
    <cfRule type="expression" dxfId="738" priority="748">
      <formula>AND($E51&lt;&gt;"",$F51&lt;=4,$F51&gt;0)</formula>
    </cfRule>
    <cfRule type="expression" dxfId="737" priority="749">
      <formula>AND($E51&lt;&gt;"",$F51&lt;=0)</formula>
    </cfRule>
  </conditionalFormatting>
  <conditionalFormatting sqref="B53">
    <cfRule type="expression" dxfId="736" priority="744">
      <formula>AND($E53&lt;&gt;"",$F53&gt;4)</formula>
    </cfRule>
    <cfRule type="expression" dxfId="735" priority="745">
      <formula>AND($E53&lt;&gt;"",$F53&lt;=4,$F53&gt;0)</formula>
    </cfRule>
    <cfRule type="expression" dxfId="734" priority="746">
      <formula>AND($E53&lt;&gt;"",$F53&lt;=0)</formula>
    </cfRule>
  </conditionalFormatting>
  <conditionalFormatting sqref="B53">
    <cfRule type="expression" dxfId="733" priority="741">
      <formula>AND($E53&lt;&gt;"",$F53&gt;4)</formula>
    </cfRule>
    <cfRule type="expression" dxfId="732" priority="742">
      <formula>AND($E53&lt;&gt;"",$F53&lt;=4,$F53&gt;0)</formula>
    </cfRule>
    <cfRule type="expression" dxfId="731" priority="743">
      <formula>AND($E53&lt;&gt;"",$F53&lt;=0)</formula>
    </cfRule>
  </conditionalFormatting>
  <conditionalFormatting sqref="B53">
    <cfRule type="expression" dxfId="730" priority="738">
      <formula>AND($E52&lt;&gt;"",$F52&gt;4)</formula>
    </cfRule>
    <cfRule type="expression" dxfId="729" priority="739">
      <formula>AND($E52&lt;&gt;"",$F52&lt;=4,$F52&gt;0)</formula>
    </cfRule>
    <cfRule type="expression" dxfId="728" priority="740">
      <formula>AND($E52&lt;&gt;"",$F52&lt;=0)</formula>
    </cfRule>
  </conditionalFormatting>
  <conditionalFormatting sqref="G52">
    <cfRule type="expression" dxfId="727" priority="735">
      <formula>AND($E52&lt;&gt;"",$F52&gt;4)</formula>
    </cfRule>
    <cfRule type="expression" dxfId="726" priority="736">
      <formula>AND($E52&lt;&gt;"",$F52&lt;=4,$F52&gt;0)</formula>
    </cfRule>
    <cfRule type="expression" dxfId="725" priority="737">
      <formula>AND($E52&lt;&gt;"",$F52&lt;=0)</formula>
    </cfRule>
  </conditionalFormatting>
  <conditionalFormatting sqref="B54">
    <cfRule type="expression" dxfId="724" priority="732">
      <formula>AND($E54&lt;&gt;"",$F54&gt;4)</formula>
    </cfRule>
    <cfRule type="expression" dxfId="723" priority="733">
      <formula>AND($E54&lt;&gt;"",$F54&lt;=4,$F54&gt;0)</formula>
    </cfRule>
    <cfRule type="expression" dxfId="722" priority="734">
      <formula>AND($E54&lt;&gt;"",$F54&lt;=0)</formula>
    </cfRule>
  </conditionalFormatting>
  <conditionalFormatting sqref="B54">
    <cfRule type="expression" dxfId="721" priority="729">
      <formula>AND($E54&lt;&gt;"",$F54&gt;4)</formula>
    </cfRule>
    <cfRule type="expression" dxfId="720" priority="730">
      <formula>AND($E54&lt;&gt;"",$F54&lt;=4,$F54&gt;0)</formula>
    </cfRule>
    <cfRule type="expression" dxfId="719" priority="731">
      <formula>AND($E54&lt;&gt;"",$F54&lt;=0)</formula>
    </cfRule>
  </conditionalFormatting>
  <conditionalFormatting sqref="B54">
    <cfRule type="expression" dxfId="718" priority="726">
      <formula>AND($E53&lt;&gt;"",$F53&gt;4)</formula>
    </cfRule>
    <cfRule type="expression" dxfId="717" priority="727">
      <formula>AND($E53&lt;&gt;"",$F53&lt;=4,$F53&gt;0)</formula>
    </cfRule>
    <cfRule type="expression" dxfId="716" priority="728">
      <formula>AND($E53&lt;&gt;"",$F53&lt;=0)</formula>
    </cfRule>
  </conditionalFormatting>
  <conditionalFormatting sqref="B55">
    <cfRule type="expression" dxfId="715" priority="723">
      <formula>AND($E55&lt;&gt;"",$F55&gt;4)</formula>
    </cfRule>
    <cfRule type="expression" dxfId="714" priority="724">
      <formula>AND($E55&lt;&gt;"",$F55&lt;=4,$F55&gt;0)</formula>
    </cfRule>
    <cfRule type="expression" dxfId="713" priority="725">
      <formula>AND($E55&lt;&gt;"",$F55&lt;=0)</formula>
    </cfRule>
  </conditionalFormatting>
  <conditionalFormatting sqref="B55">
    <cfRule type="expression" dxfId="712" priority="720">
      <formula>AND($E55&lt;&gt;"",$F55&gt;4)</formula>
    </cfRule>
    <cfRule type="expression" dxfId="711" priority="721">
      <formula>AND($E55&lt;&gt;"",$F55&lt;=4,$F55&gt;0)</formula>
    </cfRule>
    <cfRule type="expression" dxfId="710" priority="722">
      <formula>AND($E55&lt;&gt;"",$F55&lt;=0)</formula>
    </cfRule>
  </conditionalFormatting>
  <conditionalFormatting sqref="B55">
    <cfRule type="expression" dxfId="709" priority="717">
      <formula>AND($E54&lt;&gt;"",$F54&gt;4)</formula>
    </cfRule>
    <cfRule type="expression" dxfId="708" priority="718">
      <formula>AND($E54&lt;&gt;"",$F54&lt;=4,$F54&gt;0)</formula>
    </cfRule>
    <cfRule type="expression" dxfId="707" priority="719">
      <formula>AND($E54&lt;&gt;"",$F54&lt;=0)</formula>
    </cfRule>
  </conditionalFormatting>
  <conditionalFormatting sqref="B56:B61">
    <cfRule type="expression" dxfId="706" priority="702">
      <formula>AND($E56&lt;&gt;"",$F56&gt;4)</formula>
    </cfRule>
    <cfRule type="expression" dxfId="705" priority="703">
      <formula>AND($E56&lt;&gt;"",$F56&lt;=4,$F56&gt;0)</formula>
    </cfRule>
    <cfRule type="expression" dxfId="704" priority="704">
      <formula>AND($E56&lt;&gt;"",$F56&lt;=0)</formula>
    </cfRule>
  </conditionalFormatting>
  <conditionalFormatting sqref="B56:B61">
    <cfRule type="expression" dxfId="703" priority="699">
      <formula>AND($E56&lt;&gt;"",$F56&gt;4)</formula>
    </cfRule>
    <cfRule type="expression" dxfId="702" priority="700">
      <formula>AND($E56&lt;&gt;"",$F56&lt;=4,$F56&gt;0)</formula>
    </cfRule>
    <cfRule type="expression" dxfId="701" priority="701">
      <formula>AND($E56&lt;&gt;"",$F56&lt;=0)</formula>
    </cfRule>
  </conditionalFormatting>
  <conditionalFormatting sqref="B56:B61">
    <cfRule type="expression" dxfId="700" priority="696">
      <formula>AND($E56&lt;&gt;"",$F56&gt;4)</formula>
    </cfRule>
    <cfRule type="expression" dxfId="699" priority="697">
      <formula>AND($E56&lt;&gt;"",$F56&lt;=4,$F56&gt;0)</formula>
    </cfRule>
    <cfRule type="expression" dxfId="698" priority="698">
      <formula>AND($E56&lt;&gt;"",$F56&lt;=0)</formula>
    </cfRule>
  </conditionalFormatting>
  <conditionalFormatting sqref="B56:B61">
    <cfRule type="expression" dxfId="697" priority="693">
      <formula>AND($E55&lt;&gt;"",$F55&gt;4)</formula>
    </cfRule>
    <cfRule type="expression" dxfId="696" priority="694">
      <formula>AND($E55&lt;&gt;"",$F55&lt;=4,$F55&gt;0)</formula>
    </cfRule>
    <cfRule type="expression" dxfId="695" priority="695">
      <formula>AND($E55&lt;&gt;"",$F55&lt;=0)</formula>
    </cfRule>
  </conditionalFormatting>
  <conditionalFormatting sqref="N55:N61">
    <cfRule type="expression" dxfId="694" priority="690">
      <formula>AND($E55&lt;&gt;"",$F55&gt;4)</formula>
    </cfRule>
    <cfRule type="expression" dxfId="693" priority="691">
      <formula>AND($E55&lt;&gt;"",$F55&lt;=4,$F55&gt;0)</formula>
    </cfRule>
    <cfRule type="expression" dxfId="692" priority="692">
      <formula>AND($E55&lt;&gt;"",$F55&lt;=0)</formula>
    </cfRule>
  </conditionalFormatting>
  <conditionalFormatting sqref="B62">
    <cfRule type="expression" dxfId="691" priority="687">
      <formula>AND($E62&lt;&gt;"",$F62&gt;4)</formula>
    </cfRule>
    <cfRule type="expression" dxfId="690" priority="688">
      <formula>AND($E62&lt;&gt;"",$F62&lt;=4,$F62&gt;0)</formula>
    </cfRule>
    <cfRule type="expression" dxfId="689" priority="689">
      <formula>AND($E62&lt;&gt;"",$F62&lt;=0)</formula>
    </cfRule>
  </conditionalFormatting>
  <conditionalFormatting sqref="B62">
    <cfRule type="expression" dxfId="688" priority="684">
      <formula>AND($E62&lt;&gt;"",$F62&gt;4)</formula>
    </cfRule>
    <cfRule type="expression" dxfId="687" priority="685">
      <formula>AND($E62&lt;&gt;"",$F62&lt;=4,$F62&gt;0)</formula>
    </cfRule>
    <cfRule type="expression" dxfId="686" priority="686">
      <formula>AND($E62&lt;&gt;"",$F62&lt;=0)</formula>
    </cfRule>
  </conditionalFormatting>
  <conditionalFormatting sqref="B62">
    <cfRule type="expression" dxfId="685" priority="681">
      <formula>AND($E62&lt;&gt;"",$F62&gt;4)</formula>
    </cfRule>
    <cfRule type="expression" dxfId="684" priority="682">
      <formula>AND($E62&lt;&gt;"",$F62&lt;=4,$F62&gt;0)</formula>
    </cfRule>
    <cfRule type="expression" dxfId="683" priority="683">
      <formula>AND($E62&lt;&gt;"",$F62&lt;=0)</formula>
    </cfRule>
  </conditionalFormatting>
  <conditionalFormatting sqref="B62">
    <cfRule type="expression" dxfId="682" priority="678">
      <formula>AND($E61&lt;&gt;"",$F61&gt;4)</formula>
    </cfRule>
    <cfRule type="expression" dxfId="681" priority="679">
      <formula>AND($E61&lt;&gt;"",$F61&lt;=4,$F61&gt;0)</formula>
    </cfRule>
    <cfRule type="expression" dxfId="680" priority="680">
      <formula>AND($E61&lt;&gt;"",$F61&lt;=0)</formula>
    </cfRule>
  </conditionalFormatting>
  <conditionalFormatting sqref="B63">
    <cfRule type="expression" dxfId="679" priority="675">
      <formula>AND($E63&lt;&gt;"",$F63&gt;4)</formula>
    </cfRule>
    <cfRule type="expression" dxfId="678" priority="676">
      <formula>AND($E63&lt;&gt;"",$F63&lt;=4,$F63&gt;0)</formula>
    </cfRule>
    <cfRule type="expression" dxfId="677" priority="677">
      <formula>AND($E63&lt;&gt;"",$F63&lt;=0)</formula>
    </cfRule>
  </conditionalFormatting>
  <conditionalFormatting sqref="B63">
    <cfRule type="expression" dxfId="676" priority="672">
      <formula>AND($E63&lt;&gt;"",$F63&gt;4)</formula>
    </cfRule>
    <cfRule type="expression" dxfId="675" priority="673">
      <formula>AND($E63&lt;&gt;"",$F63&lt;=4,$F63&gt;0)</formula>
    </cfRule>
    <cfRule type="expression" dxfId="674" priority="674">
      <formula>AND($E63&lt;&gt;"",$F63&lt;=0)</formula>
    </cfRule>
  </conditionalFormatting>
  <conditionalFormatting sqref="B63">
    <cfRule type="expression" dxfId="673" priority="669">
      <formula>AND($E63&lt;&gt;"",$F63&gt;4)</formula>
    </cfRule>
    <cfRule type="expression" dxfId="672" priority="670">
      <formula>AND($E63&lt;&gt;"",$F63&lt;=4,$F63&gt;0)</formula>
    </cfRule>
    <cfRule type="expression" dxfId="671" priority="671">
      <formula>AND($E63&lt;&gt;"",$F63&lt;=0)</formula>
    </cfRule>
  </conditionalFormatting>
  <conditionalFormatting sqref="B63">
    <cfRule type="expression" dxfId="670" priority="666">
      <formula>AND($E62&lt;&gt;"",$F62&gt;4)</formula>
    </cfRule>
    <cfRule type="expression" dxfId="669" priority="667">
      <formula>AND($E62&lt;&gt;"",$F62&lt;=4,$F62&gt;0)</formula>
    </cfRule>
    <cfRule type="expression" dxfId="668" priority="668">
      <formula>AND($E62&lt;&gt;"",$F62&lt;=0)</formula>
    </cfRule>
  </conditionalFormatting>
  <conditionalFormatting sqref="B64:B69">
    <cfRule type="expression" dxfId="667" priority="663">
      <formula>AND($E64&lt;&gt;"",$F64&gt;4)</formula>
    </cfRule>
    <cfRule type="expression" dxfId="666" priority="664">
      <formula>AND($E64&lt;&gt;"",$F64&lt;=4,$F64&gt;0)</formula>
    </cfRule>
    <cfRule type="expression" dxfId="665" priority="665">
      <formula>AND($E64&lt;&gt;"",$F64&lt;=0)</formula>
    </cfRule>
  </conditionalFormatting>
  <conditionalFormatting sqref="B64:B69">
    <cfRule type="expression" dxfId="664" priority="660">
      <formula>AND($E64&lt;&gt;"",$F64&gt;4)</formula>
    </cfRule>
    <cfRule type="expression" dxfId="663" priority="661">
      <formula>AND($E64&lt;&gt;"",$F64&lt;=4,$F64&gt;0)</formula>
    </cfRule>
    <cfRule type="expression" dxfId="662" priority="662">
      <formula>AND($E64&lt;&gt;"",$F64&lt;=0)</formula>
    </cfRule>
  </conditionalFormatting>
  <conditionalFormatting sqref="B64:B69">
    <cfRule type="expression" dxfId="661" priority="657">
      <formula>AND($E64&lt;&gt;"",$F64&gt;4)</formula>
    </cfRule>
    <cfRule type="expression" dxfId="660" priority="658">
      <formula>AND($E64&lt;&gt;"",$F64&lt;=4,$F64&gt;0)</formula>
    </cfRule>
    <cfRule type="expression" dxfId="659" priority="659">
      <formula>AND($E64&lt;&gt;"",$F64&lt;=0)</formula>
    </cfRule>
  </conditionalFormatting>
  <conditionalFormatting sqref="B64:B69">
    <cfRule type="expression" dxfId="658" priority="654">
      <formula>AND($E63&lt;&gt;"",$F63&gt;4)</formula>
    </cfRule>
    <cfRule type="expression" dxfId="657" priority="655">
      <formula>AND($E63&lt;&gt;"",$F63&lt;=4,$F63&gt;0)</formula>
    </cfRule>
    <cfRule type="expression" dxfId="656" priority="656">
      <formula>AND($E63&lt;&gt;"",$F63&lt;=0)</formula>
    </cfRule>
  </conditionalFormatting>
  <conditionalFormatting sqref="B72">
    <cfRule type="expression" dxfId="655" priority="651">
      <formula>AND($E72&lt;&gt;"",$F72&gt;4)</formula>
    </cfRule>
    <cfRule type="expression" dxfId="654" priority="652">
      <formula>AND($E72&lt;&gt;"",$F72&lt;=4,$F72&gt;0)</formula>
    </cfRule>
    <cfRule type="expression" dxfId="653" priority="653">
      <formula>AND($E72&lt;&gt;"",$F72&lt;=0)</formula>
    </cfRule>
  </conditionalFormatting>
  <conditionalFormatting sqref="B72">
    <cfRule type="expression" dxfId="652" priority="648">
      <formula>AND($E72&lt;&gt;"",$F72&gt;4)</formula>
    </cfRule>
    <cfRule type="expression" dxfId="651" priority="649">
      <formula>AND($E72&lt;&gt;"",$F72&lt;=4,$F72&gt;0)</formula>
    </cfRule>
    <cfRule type="expression" dxfId="650" priority="650">
      <formula>AND($E72&lt;&gt;"",$F72&lt;=0)</formula>
    </cfRule>
  </conditionalFormatting>
  <conditionalFormatting sqref="B72">
    <cfRule type="expression" dxfId="649" priority="645">
      <formula>AND($E72&lt;&gt;"",$F72&gt;4)</formula>
    </cfRule>
    <cfRule type="expression" dxfId="648" priority="646">
      <formula>AND($E72&lt;&gt;"",$F72&lt;=4,$F72&gt;0)</formula>
    </cfRule>
    <cfRule type="expression" dxfId="647" priority="647">
      <formula>AND($E72&lt;&gt;"",$F72&lt;=0)</formula>
    </cfRule>
  </conditionalFormatting>
  <conditionalFormatting sqref="B72">
    <cfRule type="expression" dxfId="646" priority="642">
      <formula>AND($E71&lt;&gt;"",$F71&gt;4)</formula>
    </cfRule>
    <cfRule type="expression" dxfId="645" priority="643">
      <formula>AND($E71&lt;&gt;"",$F71&lt;=4,$F71&gt;0)</formula>
    </cfRule>
    <cfRule type="expression" dxfId="644" priority="644">
      <formula>AND($E71&lt;&gt;"",$F71&lt;=0)</formula>
    </cfRule>
  </conditionalFormatting>
  <conditionalFormatting sqref="B73:B76">
    <cfRule type="expression" dxfId="643" priority="639">
      <formula>AND($E73&lt;&gt;"",$F73&gt;4)</formula>
    </cfRule>
    <cfRule type="expression" dxfId="642" priority="640">
      <formula>AND($E73&lt;&gt;"",$F73&lt;=4,$F73&gt;0)</formula>
    </cfRule>
    <cfRule type="expression" dxfId="641" priority="641">
      <formula>AND($E73&lt;&gt;"",$F73&lt;=0)</formula>
    </cfRule>
  </conditionalFormatting>
  <conditionalFormatting sqref="B73:B76">
    <cfRule type="expression" dxfId="640" priority="636">
      <formula>AND($E73&lt;&gt;"",$F73&gt;4)</formula>
    </cfRule>
    <cfRule type="expression" dxfId="639" priority="637">
      <formula>AND($E73&lt;&gt;"",$F73&lt;=4,$F73&gt;0)</formula>
    </cfRule>
    <cfRule type="expression" dxfId="638" priority="638">
      <formula>AND($E73&lt;&gt;"",$F73&lt;=0)</formula>
    </cfRule>
  </conditionalFormatting>
  <conditionalFormatting sqref="B73:B76">
    <cfRule type="expression" dxfId="637" priority="633">
      <formula>AND($E73&lt;&gt;"",$F73&gt;4)</formula>
    </cfRule>
    <cfRule type="expression" dxfId="636" priority="634">
      <formula>AND($E73&lt;&gt;"",$F73&lt;=4,$F73&gt;0)</formula>
    </cfRule>
    <cfRule type="expression" dxfId="635" priority="635">
      <formula>AND($E73&lt;&gt;"",$F73&lt;=0)</formula>
    </cfRule>
  </conditionalFormatting>
  <conditionalFormatting sqref="B73:B76">
    <cfRule type="expression" dxfId="634" priority="630">
      <formula>AND($E72&lt;&gt;"",$F72&gt;4)</formula>
    </cfRule>
    <cfRule type="expression" dxfId="633" priority="631">
      <formula>AND($E72&lt;&gt;"",$F72&lt;=4,$F72&gt;0)</formula>
    </cfRule>
    <cfRule type="expression" dxfId="632" priority="632">
      <formula>AND($E72&lt;&gt;"",$F72&lt;=0)</formula>
    </cfRule>
  </conditionalFormatting>
  <conditionalFormatting sqref="K80">
    <cfRule type="expression" dxfId="631" priority="629">
      <formula>$J80="Pending"</formula>
    </cfRule>
  </conditionalFormatting>
  <conditionalFormatting sqref="B82">
    <cfRule type="expression" dxfId="630" priority="626">
      <formula>AND($E82&lt;&gt;"",$F82&gt;4)</formula>
    </cfRule>
    <cfRule type="expression" dxfId="629" priority="627">
      <formula>AND($E82&lt;&gt;"",$F82&lt;=4,$F82&gt;0)</formula>
    </cfRule>
    <cfRule type="expression" dxfId="628" priority="628">
      <formula>AND($E82&lt;&gt;"",$F82&lt;=0)</formula>
    </cfRule>
  </conditionalFormatting>
  <conditionalFormatting sqref="B83:B88">
    <cfRule type="expression" dxfId="627" priority="623">
      <formula>AND($E83&lt;&gt;"",$F83&gt;4)</formula>
    </cfRule>
    <cfRule type="expression" dxfId="626" priority="624">
      <formula>AND($E83&lt;&gt;"",$F83&lt;=4,$F83&gt;0)</formula>
    </cfRule>
    <cfRule type="expression" dxfId="625" priority="625">
      <formula>AND($E83&lt;&gt;"",$F83&lt;=0)</formula>
    </cfRule>
  </conditionalFormatting>
  <conditionalFormatting sqref="B89">
    <cfRule type="expression" dxfId="624" priority="620">
      <formula>AND($E89&lt;&gt;"",$F89&gt;4)</formula>
    </cfRule>
    <cfRule type="expression" dxfId="623" priority="621">
      <formula>AND($E89&lt;&gt;"",$F89&lt;=4,$F89&gt;0)</formula>
    </cfRule>
    <cfRule type="expression" dxfId="622" priority="622">
      <formula>AND($E89&lt;&gt;"",$F89&lt;=0)</formula>
    </cfRule>
  </conditionalFormatting>
  <conditionalFormatting sqref="B90">
    <cfRule type="expression" dxfId="621" priority="617">
      <formula>AND($E90&lt;&gt;"",$F90&gt;4)</formula>
    </cfRule>
    <cfRule type="expression" dxfId="620" priority="618">
      <formula>AND($E90&lt;&gt;"",$F90&lt;=4,$F90&gt;0)</formula>
    </cfRule>
    <cfRule type="expression" dxfId="619" priority="619">
      <formula>AND($E90&lt;&gt;"",$F90&lt;=0)</formula>
    </cfRule>
  </conditionalFormatting>
  <conditionalFormatting sqref="B91">
    <cfRule type="expression" dxfId="618" priority="614">
      <formula>AND($E91&lt;&gt;"",$F91&gt;4)</formula>
    </cfRule>
    <cfRule type="expression" dxfId="617" priority="615">
      <formula>AND($E91&lt;&gt;"",$F91&lt;=4,$F91&gt;0)</formula>
    </cfRule>
    <cfRule type="expression" dxfId="616" priority="616">
      <formula>AND($E91&lt;&gt;"",$F91&lt;=0)</formula>
    </cfRule>
  </conditionalFormatting>
  <conditionalFormatting sqref="B92:B99">
    <cfRule type="expression" dxfId="615" priority="611">
      <formula>AND($E92&lt;&gt;"",$F92&gt;4)</formula>
    </cfRule>
    <cfRule type="expression" dxfId="614" priority="612">
      <formula>AND($E92&lt;&gt;"",$F92&lt;=4,$F92&gt;0)</formula>
    </cfRule>
    <cfRule type="expression" dxfId="613" priority="613">
      <formula>AND($E92&lt;&gt;"",$F92&lt;=0)</formula>
    </cfRule>
  </conditionalFormatting>
  <conditionalFormatting sqref="B101:B105">
    <cfRule type="expression" dxfId="612" priority="608">
      <formula>AND($E101&lt;&gt;"",$F101&gt;4)</formula>
    </cfRule>
    <cfRule type="expression" dxfId="611" priority="609">
      <formula>AND($E101&lt;&gt;"",$F101&lt;=4,$F101&gt;0)</formula>
    </cfRule>
    <cfRule type="expression" dxfId="610" priority="610">
      <formula>AND($E101&lt;&gt;"",$F101&lt;=0)</formula>
    </cfRule>
  </conditionalFormatting>
  <conditionalFormatting sqref="B108">
    <cfRule type="expression" dxfId="609" priority="605">
      <formula>AND($E108&lt;&gt;"",$F108&gt;4)</formula>
    </cfRule>
    <cfRule type="expression" dxfId="608" priority="606">
      <formula>AND($E108&lt;&gt;"",$F108&lt;=4,$F108&gt;0)</formula>
    </cfRule>
    <cfRule type="expression" dxfId="607" priority="607">
      <formula>AND($E108&lt;&gt;"",$F108&lt;=0)</formula>
    </cfRule>
  </conditionalFormatting>
  <conditionalFormatting sqref="B109:B113">
    <cfRule type="expression" dxfId="606" priority="602">
      <formula>AND($E109&lt;&gt;"",$F109&gt;4)</formula>
    </cfRule>
    <cfRule type="expression" dxfId="605" priority="603">
      <formula>AND($E109&lt;&gt;"",$F109&lt;=4,$F109&gt;0)</formula>
    </cfRule>
    <cfRule type="expression" dxfId="604" priority="604">
      <formula>AND($E109&lt;&gt;"",$F109&lt;=0)</formula>
    </cfRule>
  </conditionalFormatting>
  <conditionalFormatting sqref="B116">
    <cfRule type="expression" dxfId="603" priority="599">
      <formula>AND($E116&lt;&gt;"",$F116&gt;4)</formula>
    </cfRule>
    <cfRule type="expression" dxfId="602" priority="600">
      <formula>AND($E116&lt;&gt;"",$F116&lt;=4,$F116&gt;0)</formula>
    </cfRule>
    <cfRule type="expression" dxfId="601" priority="601">
      <formula>AND($E116&lt;&gt;"",$F116&lt;=0)</formula>
    </cfRule>
  </conditionalFormatting>
  <conditionalFormatting sqref="B121">
    <cfRule type="expression" dxfId="600" priority="596">
      <formula>AND($E121&lt;&gt;"",$F121&gt;4)</formula>
    </cfRule>
    <cfRule type="expression" dxfId="599" priority="597">
      <formula>AND($E121&lt;&gt;"",$F121&lt;=4,$F121&gt;0)</formula>
    </cfRule>
    <cfRule type="expression" dxfId="598" priority="598">
      <formula>AND($E121&lt;&gt;"",$F121&lt;=0)</formula>
    </cfRule>
  </conditionalFormatting>
  <conditionalFormatting sqref="B124">
    <cfRule type="expression" dxfId="597" priority="593">
      <formula>AND($E124&lt;&gt;"",$F124&gt;4)</formula>
    </cfRule>
    <cfRule type="expression" dxfId="596" priority="594">
      <formula>AND($E124&lt;&gt;"",$F124&lt;=4,$F124&gt;0)</formula>
    </cfRule>
    <cfRule type="expression" dxfId="595" priority="595">
      <formula>AND($E124&lt;&gt;"",$F124&lt;=0)</formula>
    </cfRule>
  </conditionalFormatting>
  <conditionalFormatting sqref="B120">
    <cfRule type="expression" dxfId="594" priority="590">
      <formula>AND($E120&lt;&gt;"",$F120&gt;4)</formula>
    </cfRule>
    <cfRule type="expression" dxfId="593" priority="591">
      <formula>AND($E120&lt;&gt;"",$F120&lt;=4,$F120&gt;0)</formula>
    </cfRule>
    <cfRule type="expression" dxfId="592" priority="592">
      <formula>AND($E120&lt;&gt;"",$F120&lt;=0)</formula>
    </cfRule>
  </conditionalFormatting>
  <conditionalFormatting sqref="B122">
    <cfRule type="expression" dxfId="591" priority="587">
      <formula>AND($E122&lt;&gt;"",$F122&gt;4)</formula>
    </cfRule>
    <cfRule type="expression" dxfId="590" priority="588">
      <formula>AND($E122&lt;&gt;"",$F122&lt;=4,$F122&gt;0)</formula>
    </cfRule>
    <cfRule type="expression" dxfId="589" priority="589">
      <formula>AND($E122&lt;&gt;"",$F122&lt;=0)</formula>
    </cfRule>
  </conditionalFormatting>
  <conditionalFormatting sqref="B128">
    <cfRule type="expression" dxfId="588" priority="584">
      <formula>AND($E128&lt;&gt;"",$F128&gt;4)</formula>
    </cfRule>
    <cfRule type="expression" dxfId="587" priority="585">
      <formula>AND($E128&lt;&gt;"",$F128&lt;=4,$F128&gt;0)</formula>
    </cfRule>
    <cfRule type="expression" dxfId="586" priority="586">
      <formula>AND($E128&lt;&gt;"",$F128&lt;=0)</formula>
    </cfRule>
  </conditionalFormatting>
  <conditionalFormatting sqref="B126:B133">
    <cfRule type="expression" dxfId="585" priority="581">
      <formula>AND($E126&lt;&gt;"",$F126&gt;4)</formula>
    </cfRule>
    <cfRule type="expression" dxfId="584" priority="582">
      <formula>AND($E126&lt;&gt;"",$F126&lt;=4,$F126&gt;0)</formula>
    </cfRule>
    <cfRule type="expression" dxfId="583" priority="583">
      <formula>AND($E126&lt;&gt;"",$F126&lt;=0)</formula>
    </cfRule>
  </conditionalFormatting>
  <conditionalFormatting sqref="B123">
    <cfRule type="expression" dxfId="582" priority="578">
      <formula>AND($E123&lt;&gt;"",$F123&gt;4)</formula>
    </cfRule>
    <cfRule type="expression" dxfId="581" priority="579">
      <formula>AND($E123&lt;&gt;"",$F123&lt;=4,$F123&gt;0)</formula>
    </cfRule>
    <cfRule type="expression" dxfId="580" priority="580">
      <formula>AND($E123&lt;&gt;"",$F123&lt;=0)</formula>
    </cfRule>
  </conditionalFormatting>
  <conditionalFormatting sqref="B125">
    <cfRule type="expression" dxfId="579" priority="575">
      <formula>AND($E125&lt;&gt;"",$F125&gt;4)</formula>
    </cfRule>
    <cfRule type="expression" dxfId="578" priority="576">
      <formula>AND($E125&lt;&gt;"",$F125&lt;=4,$F125&gt;0)</formula>
    </cfRule>
    <cfRule type="expression" dxfId="577" priority="577">
      <formula>AND($E125&lt;&gt;"",$F125&lt;=0)</formula>
    </cfRule>
  </conditionalFormatting>
  <conditionalFormatting sqref="B125">
    <cfRule type="expression" dxfId="576" priority="572">
      <formula>AND($E125&lt;&gt;"",$F125&gt;4)</formula>
    </cfRule>
    <cfRule type="expression" dxfId="575" priority="573">
      <formula>AND($E125&lt;&gt;"",$F125&lt;=4,$F125&gt;0)</formula>
    </cfRule>
    <cfRule type="expression" dxfId="574" priority="574">
      <formula>AND($E125&lt;&gt;"",$F125&lt;=0)</formula>
    </cfRule>
  </conditionalFormatting>
  <conditionalFormatting sqref="B134:B140">
    <cfRule type="expression" dxfId="573" priority="569">
      <formula>AND($E134&lt;&gt;"",$F134&gt;4)</formula>
    </cfRule>
    <cfRule type="expression" dxfId="572" priority="570">
      <formula>AND($E134&lt;&gt;"",$F134&lt;=4,$F134&gt;0)</formula>
    </cfRule>
    <cfRule type="expression" dxfId="571" priority="571">
      <formula>AND($E134&lt;&gt;"",$F134&lt;=0)</formula>
    </cfRule>
  </conditionalFormatting>
  <conditionalFormatting sqref="B141">
    <cfRule type="expression" dxfId="570" priority="566">
      <formula>AND($E141&lt;&gt;"",$F141&gt;4)</formula>
    </cfRule>
    <cfRule type="expression" dxfId="569" priority="567">
      <formula>AND($E141&lt;&gt;"",$F141&lt;=4,$F141&gt;0)</formula>
    </cfRule>
    <cfRule type="expression" dxfId="568" priority="568">
      <formula>AND($E141&lt;&gt;"",$F141&lt;=0)</formula>
    </cfRule>
  </conditionalFormatting>
  <conditionalFormatting sqref="B142">
    <cfRule type="expression" dxfId="567" priority="563">
      <formula>AND($E142&lt;&gt;"",$F142&gt;4)</formula>
    </cfRule>
    <cfRule type="expression" dxfId="566" priority="564">
      <formula>AND($E142&lt;&gt;"",$F142&lt;=4,$F142&gt;0)</formula>
    </cfRule>
    <cfRule type="expression" dxfId="565" priority="565">
      <formula>AND($E142&lt;&gt;"",$F142&lt;=0)</formula>
    </cfRule>
  </conditionalFormatting>
  <conditionalFormatting sqref="B143:B144">
    <cfRule type="expression" dxfId="564" priority="560">
      <formula>AND($E143&lt;&gt;"",$F143&gt;4)</formula>
    </cfRule>
    <cfRule type="expression" dxfId="563" priority="561">
      <formula>AND($E143&lt;&gt;"",$F143&lt;=4,$F143&gt;0)</formula>
    </cfRule>
    <cfRule type="expression" dxfId="562" priority="562">
      <formula>AND($E143&lt;&gt;"",$F143&lt;=0)</formula>
    </cfRule>
  </conditionalFormatting>
  <conditionalFormatting sqref="A146:J146 L146:O146">
    <cfRule type="expression" dxfId="561" priority="556">
      <formula>AND($E146&lt;&gt;"",$F146&gt;4)</formula>
    </cfRule>
    <cfRule type="expression" dxfId="560" priority="557">
      <formula>AND($E146&lt;&gt;"",$F146&lt;=4,$F146&gt;0)</formula>
    </cfRule>
    <cfRule type="expression" dxfId="559" priority="558">
      <formula>AND($E146&lt;&gt;"",$F146&lt;=0)</formula>
    </cfRule>
  </conditionalFormatting>
  <conditionalFormatting sqref="J146">
    <cfRule type="expression" dxfId="558" priority="559">
      <formula>$J146="Pending"</formula>
    </cfRule>
  </conditionalFormatting>
  <conditionalFormatting sqref="C145:N145">
    <cfRule type="expression" dxfId="557" priority="552">
      <formula>AND($E145&lt;&gt;"",$F145&gt;4)</formula>
    </cfRule>
    <cfRule type="expression" dxfId="556" priority="553">
      <formula>AND($E145&lt;&gt;"",$F145&lt;=4,$F145&gt;0)</formula>
    </cfRule>
    <cfRule type="expression" dxfId="555" priority="554">
      <formula>AND($E145&lt;&gt;"",$F145&lt;=0)</formula>
    </cfRule>
  </conditionalFormatting>
  <conditionalFormatting sqref="J145">
    <cfRule type="expression" dxfId="554" priority="555">
      <formula>$J145="Pending"</formula>
    </cfRule>
  </conditionalFormatting>
  <conditionalFormatting sqref="B145">
    <cfRule type="expression" dxfId="553" priority="549">
      <formula>AND($E145&lt;&gt;"",$F145&gt;4)</formula>
    </cfRule>
    <cfRule type="expression" dxfId="552" priority="550">
      <formula>AND($E145&lt;&gt;"",$F145&lt;=4,$F145&gt;0)</formula>
    </cfRule>
    <cfRule type="expression" dxfId="551" priority="551">
      <formula>AND($E145&lt;&gt;"",$F145&lt;=0)</formula>
    </cfRule>
  </conditionalFormatting>
  <conditionalFormatting sqref="B147">
    <cfRule type="expression" dxfId="550" priority="546">
      <formula>AND($E147&lt;&gt;"",$F147&gt;4)</formula>
    </cfRule>
    <cfRule type="expression" dxfId="549" priority="547">
      <formula>AND($E147&lt;&gt;"",$F147&lt;=4,$F147&gt;0)</formula>
    </cfRule>
    <cfRule type="expression" dxfId="548" priority="548">
      <formula>AND($E147&lt;&gt;"",$F147&lt;=0)</formula>
    </cfRule>
  </conditionalFormatting>
  <conditionalFormatting sqref="B148">
    <cfRule type="expression" dxfId="547" priority="543">
      <formula>AND($E148&lt;&gt;"",$F148&gt;4)</formula>
    </cfRule>
    <cfRule type="expression" dxfId="546" priority="544">
      <formula>AND($E148&lt;&gt;"",$F148&lt;=4,$F148&gt;0)</formula>
    </cfRule>
    <cfRule type="expression" dxfId="545" priority="545">
      <formula>AND($E148&lt;&gt;"",$F148&lt;=0)</formula>
    </cfRule>
  </conditionalFormatting>
  <conditionalFormatting sqref="B148">
    <cfRule type="expression" dxfId="544" priority="540">
      <formula>AND($E148&lt;&gt;"",$F148&gt;4)</formula>
    </cfRule>
    <cfRule type="expression" dxfId="543" priority="541">
      <formula>AND($E148&lt;&gt;"",$F148&lt;=4,$F148&gt;0)</formula>
    </cfRule>
    <cfRule type="expression" dxfId="542" priority="542">
      <formula>AND($E148&lt;&gt;"",$F148&lt;=0)</formula>
    </cfRule>
  </conditionalFormatting>
  <conditionalFormatting sqref="B149">
    <cfRule type="expression" dxfId="541" priority="537">
      <formula>AND($E149&lt;&gt;"",$F149&gt;4)</formula>
    </cfRule>
    <cfRule type="expression" dxfId="540" priority="538">
      <formula>AND($E149&lt;&gt;"",$F149&lt;=4,$F149&gt;0)</formula>
    </cfRule>
    <cfRule type="expression" dxfId="539" priority="539">
      <formula>AND($E149&lt;&gt;"",$F149&lt;=0)</formula>
    </cfRule>
  </conditionalFormatting>
  <conditionalFormatting sqref="B149">
    <cfRule type="expression" dxfId="538" priority="534">
      <formula>AND($E149&lt;&gt;"",$F149&gt;4)</formula>
    </cfRule>
    <cfRule type="expression" dxfId="537" priority="535">
      <formula>AND($E149&lt;&gt;"",$F149&lt;=4,$F149&gt;0)</formula>
    </cfRule>
    <cfRule type="expression" dxfId="536" priority="536">
      <formula>AND($E149&lt;&gt;"",$F149&lt;=0)</formula>
    </cfRule>
  </conditionalFormatting>
  <conditionalFormatting sqref="B150">
    <cfRule type="expression" dxfId="535" priority="531">
      <formula>AND($E150&lt;&gt;"",$F150&gt;4)</formula>
    </cfRule>
    <cfRule type="expression" dxfId="534" priority="532">
      <formula>AND($E150&lt;&gt;"",$F150&lt;=4,$F150&gt;0)</formula>
    </cfRule>
    <cfRule type="expression" dxfId="533" priority="533">
      <formula>AND($E150&lt;&gt;"",$F150&lt;=0)</formula>
    </cfRule>
  </conditionalFormatting>
  <conditionalFormatting sqref="B150">
    <cfRule type="expression" dxfId="532" priority="528">
      <formula>AND($E150&lt;&gt;"",$F150&gt;4)</formula>
    </cfRule>
    <cfRule type="expression" dxfId="531" priority="529">
      <formula>AND($E150&lt;&gt;"",$F150&lt;=4,$F150&gt;0)</formula>
    </cfRule>
    <cfRule type="expression" dxfId="530" priority="530">
      <formula>AND($E150&lt;&gt;"",$F150&lt;=0)</formula>
    </cfRule>
  </conditionalFormatting>
  <conditionalFormatting sqref="B151">
    <cfRule type="expression" dxfId="529" priority="525">
      <formula>AND($E151&lt;&gt;"",$F151&gt;4)</formula>
    </cfRule>
    <cfRule type="expression" dxfId="528" priority="526">
      <formula>AND($E151&lt;&gt;"",$F151&lt;=4,$F151&gt;0)</formula>
    </cfRule>
    <cfRule type="expression" dxfId="527" priority="527">
      <formula>AND($E151&lt;&gt;"",$F151&lt;=0)</formula>
    </cfRule>
  </conditionalFormatting>
  <conditionalFormatting sqref="B151">
    <cfRule type="expression" dxfId="526" priority="522">
      <formula>AND($E151&lt;&gt;"",$F151&gt;4)</formula>
    </cfRule>
    <cfRule type="expression" dxfId="525" priority="523">
      <formula>AND($E151&lt;&gt;"",$F151&lt;=4,$F151&gt;0)</formula>
    </cfRule>
    <cfRule type="expression" dxfId="524" priority="524">
      <formula>AND($E151&lt;&gt;"",$F151&lt;=0)</formula>
    </cfRule>
  </conditionalFormatting>
  <conditionalFormatting sqref="B152">
    <cfRule type="expression" dxfId="523" priority="519">
      <formula>AND($E152&lt;&gt;"",$F152&gt;4)</formula>
    </cfRule>
    <cfRule type="expression" dxfId="522" priority="520">
      <formula>AND($E152&lt;&gt;"",$F152&lt;=4,$F152&gt;0)</formula>
    </cfRule>
    <cfRule type="expression" dxfId="521" priority="521">
      <formula>AND($E152&lt;&gt;"",$F152&lt;=0)</formula>
    </cfRule>
  </conditionalFormatting>
  <conditionalFormatting sqref="B152">
    <cfRule type="expression" dxfId="520" priority="516">
      <formula>AND($E152&lt;&gt;"",$F152&gt;4)</formula>
    </cfRule>
    <cfRule type="expression" dxfId="519" priority="517">
      <formula>AND($E152&lt;&gt;"",$F152&lt;=4,$F152&gt;0)</formula>
    </cfRule>
    <cfRule type="expression" dxfId="518" priority="518">
      <formula>AND($E152&lt;&gt;"",$F152&lt;=0)</formula>
    </cfRule>
  </conditionalFormatting>
  <conditionalFormatting sqref="B153">
    <cfRule type="expression" dxfId="517" priority="513">
      <formula>AND($E153&lt;&gt;"",$F153&gt;4)</formula>
    </cfRule>
    <cfRule type="expression" dxfId="516" priority="514">
      <formula>AND($E153&lt;&gt;"",$F153&lt;=4,$F153&gt;0)</formula>
    </cfRule>
    <cfRule type="expression" dxfId="515" priority="515">
      <formula>AND($E153&lt;&gt;"",$F153&lt;=0)</formula>
    </cfRule>
  </conditionalFormatting>
  <conditionalFormatting sqref="B153">
    <cfRule type="expression" dxfId="514" priority="510">
      <formula>AND($E153&lt;&gt;"",$F153&gt;4)</formula>
    </cfRule>
    <cfRule type="expression" dxfId="513" priority="511">
      <formula>AND($E153&lt;&gt;"",$F153&lt;=4,$F153&gt;0)</formula>
    </cfRule>
    <cfRule type="expression" dxfId="512" priority="512">
      <formula>AND($E153&lt;&gt;"",$F153&lt;=0)</formula>
    </cfRule>
  </conditionalFormatting>
  <conditionalFormatting sqref="B154">
    <cfRule type="expression" dxfId="511" priority="507">
      <formula>AND($E154&lt;&gt;"",$F154&gt;4)</formula>
    </cfRule>
    <cfRule type="expression" dxfId="510" priority="508">
      <formula>AND($E154&lt;&gt;"",$F154&lt;=4,$F154&gt;0)</formula>
    </cfRule>
    <cfRule type="expression" dxfId="509" priority="509">
      <formula>AND($E154&lt;&gt;"",$F154&lt;=0)</formula>
    </cfRule>
  </conditionalFormatting>
  <conditionalFormatting sqref="B154">
    <cfRule type="expression" dxfId="508" priority="504">
      <formula>AND($E154&lt;&gt;"",$F154&gt;4)</formula>
    </cfRule>
    <cfRule type="expression" dxfId="507" priority="505">
      <formula>AND($E154&lt;&gt;"",$F154&lt;=4,$F154&gt;0)</formula>
    </cfRule>
    <cfRule type="expression" dxfId="506" priority="506">
      <formula>AND($E154&lt;&gt;"",$F154&lt;=0)</formula>
    </cfRule>
  </conditionalFormatting>
  <conditionalFormatting sqref="B155">
    <cfRule type="expression" dxfId="505" priority="501">
      <formula>AND($E155&lt;&gt;"",$F155&gt;4)</formula>
    </cfRule>
    <cfRule type="expression" dxfId="504" priority="502">
      <formula>AND($E155&lt;&gt;"",$F155&lt;=4,$F155&gt;0)</formula>
    </cfRule>
    <cfRule type="expression" dxfId="503" priority="503">
      <formula>AND($E155&lt;&gt;"",$F155&lt;=0)</formula>
    </cfRule>
  </conditionalFormatting>
  <conditionalFormatting sqref="B155">
    <cfRule type="expression" dxfId="502" priority="498">
      <formula>AND($E155&lt;&gt;"",$F155&gt;4)</formula>
    </cfRule>
    <cfRule type="expression" dxfId="501" priority="499">
      <formula>AND($E155&lt;&gt;"",$F155&lt;=4,$F155&gt;0)</formula>
    </cfRule>
    <cfRule type="expression" dxfId="500" priority="500">
      <formula>AND($E155&lt;&gt;"",$F155&lt;=0)</formula>
    </cfRule>
  </conditionalFormatting>
  <conditionalFormatting sqref="B156">
    <cfRule type="expression" dxfId="499" priority="495">
      <formula>AND($E156&lt;&gt;"",$F156&gt;4)</formula>
    </cfRule>
    <cfRule type="expression" dxfId="498" priority="496">
      <formula>AND($E156&lt;&gt;"",$F156&lt;=4,$F156&gt;0)</formula>
    </cfRule>
    <cfRule type="expression" dxfId="497" priority="497">
      <formula>AND($E156&lt;&gt;"",$F156&lt;=0)</formula>
    </cfRule>
  </conditionalFormatting>
  <conditionalFormatting sqref="B156">
    <cfRule type="expression" dxfId="496" priority="492">
      <formula>AND($E156&lt;&gt;"",$F156&gt;4)</formula>
    </cfRule>
    <cfRule type="expression" dxfId="495" priority="493">
      <formula>AND($E156&lt;&gt;"",$F156&lt;=4,$F156&gt;0)</formula>
    </cfRule>
    <cfRule type="expression" dxfId="494" priority="494">
      <formula>AND($E156&lt;&gt;"",$F156&lt;=0)</formula>
    </cfRule>
  </conditionalFormatting>
  <conditionalFormatting sqref="B157">
    <cfRule type="expression" dxfId="493" priority="489">
      <formula>AND($E157&lt;&gt;"",$F157&gt;4)</formula>
    </cfRule>
    <cfRule type="expression" dxfId="492" priority="490">
      <formula>AND($E157&lt;&gt;"",$F157&lt;=4,$F157&gt;0)</formula>
    </cfRule>
    <cfRule type="expression" dxfId="491" priority="491">
      <formula>AND($E157&lt;&gt;"",$F157&lt;=0)</formula>
    </cfRule>
  </conditionalFormatting>
  <conditionalFormatting sqref="B157">
    <cfRule type="expression" dxfId="490" priority="486">
      <formula>AND($E157&lt;&gt;"",$F157&gt;4)</formula>
    </cfRule>
    <cfRule type="expression" dxfId="489" priority="487">
      <formula>AND($E157&lt;&gt;"",$F157&lt;=4,$F157&gt;0)</formula>
    </cfRule>
    <cfRule type="expression" dxfId="488" priority="488">
      <formula>AND($E157&lt;&gt;"",$F157&lt;=0)</formula>
    </cfRule>
  </conditionalFormatting>
  <conditionalFormatting sqref="B158">
    <cfRule type="expression" dxfId="487" priority="483">
      <formula>AND($E158&lt;&gt;"",$F158&gt;4)</formula>
    </cfRule>
    <cfRule type="expression" dxfId="486" priority="484">
      <formula>AND($E158&lt;&gt;"",$F158&lt;=4,$F158&gt;0)</formula>
    </cfRule>
    <cfRule type="expression" dxfId="485" priority="485">
      <formula>AND($E158&lt;&gt;"",$F158&lt;=0)</formula>
    </cfRule>
  </conditionalFormatting>
  <conditionalFormatting sqref="B158">
    <cfRule type="expression" dxfId="484" priority="480">
      <formula>AND($E158&lt;&gt;"",$F158&gt;4)</formula>
    </cfRule>
    <cfRule type="expression" dxfId="483" priority="481">
      <formula>AND($E158&lt;&gt;"",$F158&lt;=4,$F158&gt;0)</formula>
    </cfRule>
    <cfRule type="expression" dxfId="482" priority="482">
      <formula>AND($E158&lt;&gt;"",$F158&lt;=0)</formula>
    </cfRule>
  </conditionalFormatting>
  <conditionalFormatting sqref="B159">
    <cfRule type="expression" dxfId="481" priority="477">
      <formula>AND($E159&lt;&gt;"",$F159&gt;4)</formula>
    </cfRule>
    <cfRule type="expression" dxfId="480" priority="478">
      <formula>AND($E159&lt;&gt;"",$F159&lt;=4,$F159&gt;0)</formula>
    </cfRule>
    <cfRule type="expression" dxfId="479" priority="479">
      <formula>AND($E159&lt;&gt;"",$F159&lt;=0)</formula>
    </cfRule>
  </conditionalFormatting>
  <conditionalFormatting sqref="B159">
    <cfRule type="expression" dxfId="478" priority="474">
      <formula>AND($E159&lt;&gt;"",$F159&gt;4)</formula>
    </cfRule>
    <cfRule type="expression" dxfId="477" priority="475">
      <formula>AND($E159&lt;&gt;"",$F159&lt;=4,$F159&gt;0)</formula>
    </cfRule>
    <cfRule type="expression" dxfId="476" priority="476">
      <formula>AND($E159&lt;&gt;"",$F159&lt;=0)</formula>
    </cfRule>
  </conditionalFormatting>
  <conditionalFormatting sqref="B160">
    <cfRule type="expression" dxfId="475" priority="471">
      <formula>AND($E160&lt;&gt;"",$F160&gt;4)</formula>
    </cfRule>
    <cfRule type="expression" dxfId="474" priority="472">
      <formula>AND($E160&lt;&gt;"",$F160&lt;=4,$F160&gt;0)</formula>
    </cfRule>
    <cfRule type="expression" dxfId="473" priority="473">
      <formula>AND($E160&lt;&gt;"",$F160&lt;=0)</formula>
    </cfRule>
  </conditionalFormatting>
  <conditionalFormatting sqref="B160">
    <cfRule type="expression" dxfId="472" priority="468">
      <formula>AND($E160&lt;&gt;"",$F160&gt;4)</formula>
    </cfRule>
    <cfRule type="expression" dxfId="471" priority="469">
      <formula>AND($E160&lt;&gt;"",$F160&lt;=4,$F160&gt;0)</formula>
    </cfRule>
    <cfRule type="expression" dxfId="470" priority="470">
      <formula>AND($E160&lt;&gt;"",$F160&lt;=0)</formula>
    </cfRule>
  </conditionalFormatting>
  <conditionalFormatting sqref="B161">
    <cfRule type="expression" dxfId="469" priority="465">
      <formula>AND($E161&lt;&gt;"",$F161&gt;4)</formula>
    </cfRule>
    <cfRule type="expression" dxfId="468" priority="466">
      <formula>AND($E161&lt;&gt;"",$F161&lt;=4,$F161&gt;0)</formula>
    </cfRule>
    <cfRule type="expression" dxfId="467" priority="467">
      <formula>AND($E161&lt;&gt;"",$F161&lt;=0)</formula>
    </cfRule>
  </conditionalFormatting>
  <conditionalFormatting sqref="B161">
    <cfRule type="expression" dxfId="466" priority="462">
      <formula>AND($E161&lt;&gt;"",$F161&gt;4)</formula>
    </cfRule>
    <cfRule type="expression" dxfId="465" priority="463">
      <formula>AND($E161&lt;&gt;"",$F161&lt;=4,$F161&gt;0)</formula>
    </cfRule>
    <cfRule type="expression" dxfId="464" priority="464">
      <formula>AND($E161&lt;&gt;"",$F161&lt;=0)</formula>
    </cfRule>
  </conditionalFormatting>
  <conditionalFormatting sqref="B162">
    <cfRule type="expression" dxfId="463" priority="459">
      <formula>AND($E162&lt;&gt;"",$F162&gt;4)</formula>
    </cfRule>
    <cfRule type="expression" dxfId="462" priority="460">
      <formula>AND($E162&lt;&gt;"",$F162&lt;=4,$F162&gt;0)</formula>
    </cfRule>
    <cfRule type="expression" dxfId="461" priority="461">
      <formula>AND($E162&lt;&gt;"",$F162&lt;=0)</formula>
    </cfRule>
  </conditionalFormatting>
  <conditionalFormatting sqref="B162">
    <cfRule type="expression" dxfId="460" priority="456">
      <formula>AND($E162&lt;&gt;"",$F162&gt;4)</formula>
    </cfRule>
    <cfRule type="expression" dxfId="459" priority="457">
      <formula>AND($E162&lt;&gt;"",$F162&lt;=4,$F162&gt;0)</formula>
    </cfRule>
    <cfRule type="expression" dxfId="458" priority="458">
      <formula>AND($E162&lt;&gt;"",$F162&lt;=0)</formula>
    </cfRule>
  </conditionalFormatting>
  <conditionalFormatting sqref="B163">
    <cfRule type="expression" dxfId="457" priority="453">
      <formula>AND($E163&lt;&gt;"",$F163&gt;4)</formula>
    </cfRule>
    <cfRule type="expression" dxfId="456" priority="454">
      <formula>AND($E163&lt;&gt;"",$F163&lt;=4,$F163&gt;0)</formula>
    </cfRule>
    <cfRule type="expression" dxfId="455" priority="455">
      <formula>AND($E163&lt;&gt;"",$F163&lt;=0)</formula>
    </cfRule>
  </conditionalFormatting>
  <conditionalFormatting sqref="B163">
    <cfRule type="expression" dxfId="454" priority="450">
      <formula>AND($E163&lt;&gt;"",$F163&gt;4)</formula>
    </cfRule>
    <cfRule type="expression" dxfId="453" priority="451">
      <formula>AND($E163&lt;&gt;"",$F163&lt;=4,$F163&gt;0)</formula>
    </cfRule>
    <cfRule type="expression" dxfId="452" priority="452">
      <formula>AND($E163&lt;&gt;"",$F163&lt;=0)</formula>
    </cfRule>
  </conditionalFormatting>
  <conditionalFormatting sqref="B164">
    <cfRule type="expression" dxfId="451" priority="447">
      <formula>AND($E164&lt;&gt;"",$F164&gt;4)</formula>
    </cfRule>
    <cfRule type="expression" dxfId="450" priority="448">
      <formula>AND($E164&lt;&gt;"",$F164&lt;=4,$F164&gt;0)</formula>
    </cfRule>
    <cfRule type="expression" dxfId="449" priority="449">
      <formula>AND($E164&lt;&gt;"",$F164&lt;=0)</formula>
    </cfRule>
  </conditionalFormatting>
  <conditionalFormatting sqref="B164">
    <cfRule type="expression" dxfId="448" priority="444">
      <formula>AND($E164&lt;&gt;"",$F164&gt;4)</formula>
    </cfRule>
    <cfRule type="expression" dxfId="447" priority="445">
      <formula>AND($E164&lt;&gt;"",$F164&lt;=4,$F164&gt;0)</formula>
    </cfRule>
    <cfRule type="expression" dxfId="446" priority="446">
      <formula>AND($E164&lt;&gt;"",$F164&lt;=0)</formula>
    </cfRule>
  </conditionalFormatting>
  <conditionalFormatting sqref="B165">
    <cfRule type="expression" dxfId="445" priority="441">
      <formula>AND($E165&lt;&gt;"",$F165&gt;4)</formula>
    </cfRule>
    <cfRule type="expression" dxfId="444" priority="442">
      <formula>AND($E165&lt;&gt;"",$F165&lt;=4,$F165&gt;0)</formula>
    </cfRule>
    <cfRule type="expression" dxfId="443" priority="443">
      <formula>AND($E165&lt;&gt;"",$F165&lt;=0)</formula>
    </cfRule>
  </conditionalFormatting>
  <conditionalFormatting sqref="B165">
    <cfRule type="expression" dxfId="442" priority="438">
      <formula>AND($E165&lt;&gt;"",$F165&gt;4)</formula>
    </cfRule>
    <cfRule type="expression" dxfId="441" priority="439">
      <formula>AND($E165&lt;&gt;"",$F165&lt;=4,$F165&gt;0)</formula>
    </cfRule>
    <cfRule type="expression" dxfId="440" priority="440">
      <formula>AND($E165&lt;&gt;"",$F165&lt;=0)</formula>
    </cfRule>
  </conditionalFormatting>
  <conditionalFormatting sqref="B166">
    <cfRule type="expression" dxfId="439" priority="435">
      <formula>AND($E166&lt;&gt;"",$F166&gt;4)</formula>
    </cfRule>
    <cfRule type="expression" dxfId="438" priority="436">
      <formula>AND($E166&lt;&gt;"",$F166&lt;=4,$F166&gt;0)</formula>
    </cfRule>
    <cfRule type="expression" dxfId="437" priority="437">
      <formula>AND($E166&lt;&gt;"",$F166&lt;=0)</formula>
    </cfRule>
  </conditionalFormatting>
  <conditionalFormatting sqref="B166">
    <cfRule type="expression" dxfId="436" priority="432">
      <formula>AND($E166&lt;&gt;"",$F166&gt;4)</formula>
    </cfRule>
    <cfRule type="expression" dxfId="435" priority="433">
      <formula>AND($E166&lt;&gt;"",$F166&lt;=4,$F166&gt;0)</formula>
    </cfRule>
    <cfRule type="expression" dxfId="434" priority="434">
      <formula>AND($E166&lt;&gt;"",$F166&lt;=0)</formula>
    </cfRule>
  </conditionalFormatting>
  <conditionalFormatting sqref="B169">
    <cfRule type="expression" dxfId="433" priority="429">
      <formula>AND($E169&lt;&gt;"",$F169&gt;4)</formula>
    </cfRule>
    <cfRule type="expression" dxfId="432" priority="430">
      <formula>AND($E169&lt;&gt;"",$F169&lt;=4,$F169&gt;0)</formula>
    </cfRule>
    <cfRule type="expression" dxfId="431" priority="431">
      <formula>AND($E169&lt;&gt;"",$F169&lt;=0)</formula>
    </cfRule>
  </conditionalFormatting>
  <conditionalFormatting sqref="B169">
    <cfRule type="expression" dxfId="430" priority="426">
      <formula>AND($E169&lt;&gt;"",$F169&gt;4)</formula>
    </cfRule>
    <cfRule type="expression" dxfId="429" priority="427">
      <formula>AND($E169&lt;&gt;"",$F169&lt;=4,$F169&gt;0)</formula>
    </cfRule>
    <cfRule type="expression" dxfId="428" priority="428">
      <formula>AND($E169&lt;&gt;"",$F169&lt;=0)</formula>
    </cfRule>
  </conditionalFormatting>
  <conditionalFormatting sqref="B170">
    <cfRule type="expression" dxfId="427" priority="423">
      <formula>AND($E170&lt;&gt;"",$F170&gt;4)</formula>
    </cfRule>
    <cfRule type="expression" dxfId="426" priority="424">
      <formula>AND($E170&lt;&gt;"",$F170&lt;=4,$F170&gt;0)</formula>
    </cfRule>
    <cfRule type="expression" dxfId="425" priority="425">
      <formula>AND($E170&lt;&gt;"",$F170&lt;=0)</formula>
    </cfRule>
  </conditionalFormatting>
  <conditionalFormatting sqref="B170">
    <cfRule type="expression" dxfId="424" priority="420">
      <formula>AND($E170&lt;&gt;"",$F170&gt;4)</formula>
    </cfRule>
    <cfRule type="expression" dxfId="423" priority="421">
      <formula>AND($E170&lt;&gt;"",$F170&lt;=4,$F170&gt;0)</formula>
    </cfRule>
    <cfRule type="expression" dxfId="422" priority="422">
      <formula>AND($E170&lt;&gt;"",$F170&lt;=0)</formula>
    </cfRule>
  </conditionalFormatting>
  <conditionalFormatting sqref="B171">
    <cfRule type="expression" dxfId="421" priority="417">
      <formula>AND($E171&lt;&gt;"",$F171&gt;4)</formula>
    </cfRule>
    <cfRule type="expression" dxfId="420" priority="418">
      <formula>AND($E171&lt;&gt;"",$F171&lt;=4,$F171&gt;0)</formula>
    </cfRule>
    <cfRule type="expression" dxfId="419" priority="419">
      <formula>AND($E171&lt;&gt;"",$F171&lt;=0)</formula>
    </cfRule>
  </conditionalFormatting>
  <conditionalFormatting sqref="B171">
    <cfRule type="expression" dxfId="418" priority="414">
      <formula>AND($E171&lt;&gt;"",$F171&gt;4)</formula>
    </cfRule>
    <cfRule type="expression" dxfId="417" priority="415">
      <formula>AND($E171&lt;&gt;"",$F171&lt;=4,$F171&gt;0)</formula>
    </cfRule>
    <cfRule type="expression" dxfId="416" priority="416">
      <formula>AND($E171&lt;&gt;"",$F171&lt;=0)</formula>
    </cfRule>
  </conditionalFormatting>
  <conditionalFormatting sqref="B172">
    <cfRule type="expression" dxfId="415" priority="411">
      <formula>AND($E172&lt;&gt;"",$F172&gt;4)</formula>
    </cfRule>
    <cfRule type="expression" dxfId="414" priority="412">
      <formula>AND($E172&lt;&gt;"",$F172&lt;=4,$F172&gt;0)</formula>
    </cfRule>
    <cfRule type="expression" dxfId="413" priority="413">
      <formula>AND($E172&lt;&gt;"",$F172&lt;=0)</formula>
    </cfRule>
  </conditionalFormatting>
  <conditionalFormatting sqref="B172">
    <cfRule type="expression" dxfId="412" priority="408">
      <formula>AND($E172&lt;&gt;"",$F172&gt;4)</formula>
    </cfRule>
    <cfRule type="expression" dxfId="411" priority="409">
      <formula>AND($E172&lt;&gt;"",$F172&lt;=4,$F172&gt;0)</formula>
    </cfRule>
    <cfRule type="expression" dxfId="410" priority="410">
      <formula>AND($E172&lt;&gt;"",$F172&lt;=0)</formula>
    </cfRule>
  </conditionalFormatting>
  <conditionalFormatting sqref="B173">
    <cfRule type="expression" dxfId="409" priority="405">
      <formula>AND($E173&lt;&gt;"",$F173&gt;4)</formula>
    </cfRule>
    <cfRule type="expression" dxfId="408" priority="406">
      <formula>AND($E173&lt;&gt;"",$F173&lt;=4,$F173&gt;0)</formula>
    </cfRule>
    <cfRule type="expression" dxfId="407" priority="407">
      <formula>AND($E173&lt;&gt;"",$F173&lt;=0)</formula>
    </cfRule>
  </conditionalFormatting>
  <conditionalFormatting sqref="B173">
    <cfRule type="expression" dxfId="406" priority="402">
      <formula>AND($E173&lt;&gt;"",$F173&gt;4)</formula>
    </cfRule>
    <cfRule type="expression" dxfId="405" priority="403">
      <formula>AND($E173&lt;&gt;"",$F173&lt;=4,$F173&gt;0)</formula>
    </cfRule>
    <cfRule type="expression" dxfId="404" priority="404">
      <formula>AND($E173&lt;&gt;"",$F173&lt;=0)</formula>
    </cfRule>
  </conditionalFormatting>
  <conditionalFormatting sqref="B174">
    <cfRule type="expression" dxfId="403" priority="399">
      <formula>AND($E174&lt;&gt;"",$F174&gt;4)</formula>
    </cfRule>
    <cfRule type="expression" dxfId="402" priority="400">
      <formula>AND($E174&lt;&gt;"",$F174&lt;=4,$F174&gt;0)</formula>
    </cfRule>
    <cfRule type="expression" dxfId="401" priority="401">
      <formula>AND($E174&lt;&gt;"",$F174&lt;=0)</formula>
    </cfRule>
  </conditionalFormatting>
  <conditionalFormatting sqref="B174">
    <cfRule type="expression" dxfId="400" priority="396">
      <formula>AND($E174&lt;&gt;"",$F174&gt;4)</formula>
    </cfRule>
    <cfRule type="expression" dxfId="399" priority="397">
      <formula>AND($E174&lt;&gt;"",$F174&lt;=4,$F174&gt;0)</formula>
    </cfRule>
    <cfRule type="expression" dxfId="398" priority="398">
      <formula>AND($E174&lt;&gt;"",$F174&lt;=0)</formula>
    </cfRule>
  </conditionalFormatting>
  <conditionalFormatting sqref="B175">
    <cfRule type="expression" dxfId="397" priority="393">
      <formula>AND($E175&lt;&gt;"",$F175&gt;4)</formula>
    </cfRule>
    <cfRule type="expression" dxfId="396" priority="394">
      <formula>AND($E175&lt;&gt;"",$F175&lt;=4,$F175&gt;0)</formula>
    </cfRule>
    <cfRule type="expression" dxfId="395" priority="395">
      <formula>AND($E175&lt;&gt;"",$F175&lt;=0)</formula>
    </cfRule>
  </conditionalFormatting>
  <conditionalFormatting sqref="B175">
    <cfRule type="expression" dxfId="394" priority="390">
      <formula>AND($E175&lt;&gt;"",$F175&gt;4)</formula>
    </cfRule>
    <cfRule type="expression" dxfId="393" priority="391">
      <formula>AND($E175&lt;&gt;"",$F175&lt;=4,$F175&gt;0)</formula>
    </cfRule>
    <cfRule type="expression" dxfId="392" priority="392">
      <formula>AND($E175&lt;&gt;"",$F175&lt;=0)</formula>
    </cfRule>
  </conditionalFormatting>
  <conditionalFormatting sqref="B176">
    <cfRule type="expression" dxfId="391" priority="387">
      <formula>AND($E176&lt;&gt;"",$F176&gt;4)</formula>
    </cfRule>
    <cfRule type="expression" dxfId="390" priority="388">
      <formula>AND($E176&lt;&gt;"",$F176&lt;=4,$F176&gt;0)</formula>
    </cfRule>
    <cfRule type="expression" dxfId="389" priority="389">
      <formula>AND($E176&lt;&gt;"",$F176&lt;=0)</formula>
    </cfRule>
  </conditionalFormatting>
  <conditionalFormatting sqref="B176">
    <cfRule type="expression" dxfId="388" priority="384">
      <formula>AND($E176&lt;&gt;"",$F176&gt;4)</formula>
    </cfRule>
    <cfRule type="expression" dxfId="387" priority="385">
      <formula>AND($E176&lt;&gt;"",$F176&lt;=4,$F176&gt;0)</formula>
    </cfRule>
    <cfRule type="expression" dxfId="386" priority="386">
      <formula>AND($E176&lt;&gt;"",$F176&lt;=0)</formula>
    </cfRule>
  </conditionalFormatting>
  <conditionalFormatting sqref="B177">
    <cfRule type="expression" dxfId="385" priority="381">
      <formula>AND($E177&lt;&gt;"",$F177&gt;4)</formula>
    </cfRule>
    <cfRule type="expression" dxfId="384" priority="382">
      <formula>AND($E177&lt;&gt;"",$F177&lt;=4,$F177&gt;0)</formula>
    </cfRule>
    <cfRule type="expression" dxfId="383" priority="383">
      <formula>AND($E177&lt;&gt;"",$F177&lt;=0)</formula>
    </cfRule>
  </conditionalFormatting>
  <conditionalFormatting sqref="B177">
    <cfRule type="expression" dxfId="382" priority="378">
      <formula>AND($E177&lt;&gt;"",$F177&gt;4)</formula>
    </cfRule>
    <cfRule type="expression" dxfId="381" priority="379">
      <formula>AND($E177&lt;&gt;"",$F177&lt;=4,$F177&gt;0)</formula>
    </cfRule>
    <cfRule type="expression" dxfId="380" priority="380">
      <formula>AND($E177&lt;&gt;"",$F177&lt;=0)</formula>
    </cfRule>
  </conditionalFormatting>
  <conditionalFormatting sqref="B178">
    <cfRule type="expression" dxfId="379" priority="375">
      <formula>AND($E178&lt;&gt;"",$F178&gt;4)</formula>
    </cfRule>
    <cfRule type="expression" dxfId="378" priority="376">
      <formula>AND($E178&lt;&gt;"",$F178&lt;=4,$F178&gt;0)</formula>
    </cfRule>
    <cfRule type="expression" dxfId="377" priority="377">
      <formula>AND($E178&lt;&gt;"",$F178&lt;=0)</formula>
    </cfRule>
  </conditionalFormatting>
  <conditionalFormatting sqref="B178">
    <cfRule type="expression" dxfId="376" priority="372">
      <formula>AND($E178&lt;&gt;"",$F178&gt;4)</formula>
    </cfRule>
    <cfRule type="expression" dxfId="375" priority="373">
      <formula>AND($E178&lt;&gt;"",$F178&lt;=4,$F178&gt;0)</formula>
    </cfRule>
    <cfRule type="expression" dxfId="374" priority="374">
      <formula>AND($E178&lt;&gt;"",$F178&lt;=0)</formula>
    </cfRule>
  </conditionalFormatting>
  <conditionalFormatting sqref="B235">
    <cfRule type="expression" dxfId="373" priority="14">
      <formula>AND($E235&lt;&gt;"",$F235&gt;4)</formula>
    </cfRule>
    <cfRule type="expression" dxfId="372" priority="15">
      <formula>AND($E235&lt;&gt;"",$F235&lt;=4,$F235&gt;0)</formula>
    </cfRule>
    <cfRule type="expression" dxfId="371" priority="16">
      <formula>AND($E235&lt;&gt;"",$F235&lt;=0)</formula>
    </cfRule>
  </conditionalFormatting>
  <conditionalFormatting sqref="B179">
    <cfRule type="expression" dxfId="370" priority="369">
      <formula>AND($E179&lt;&gt;"",$F179&gt;4)</formula>
    </cfRule>
    <cfRule type="expression" dxfId="369" priority="370">
      <formula>AND($E179&lt;&gt;"",$F179&lt;=4,$F179&gt;0)</formula>
    </cfRule>
    <cfRule type="expression" dxfId="368" priority="371">
      <formula>AND($E179&lt;&gt;"",$F179&lt;=0)</formula>
    </cfRule>
  </conditionalFormatting>
  <conditionalFormatting sqref="B179">
    <cfRule type="expression" dxfId="367" priority="366">
      <formula>AND($E179&lt;&gt;"",$F179&gt;4)</formula>
    </cfRule>
    <cfRule type="expression" dxfId="366" priority="367">
      <formula>AND($E179&lt;&gt;"",$F179&lt;=4,$F179&gt;0)</formula>
    </cfRule>
    <cfRule type="expression" dxfId="365" priority="368">
      <formula>AND($E179&lt;&gt;"",$F179&lt;=0)</formula>
    </cfRule>
  </conditionalFormatting>
  <conditionalFormatting sqref="B180">
    <cfRule type="expression" dxfId="364" priority="363">
      <formula>AND($E180&lt;&gt;"",$F180&gt;4)</formula>
    </cfRule>
    <cfRule type="expression" dxfId="363" priority="364">
      <formula>AND($E180&lt;&gt;"",$F180&lt;=4,$F180&gt;0)</formula>
    </cfRule>
    <cfRule type="expression" dxfId="362" priority="365">
      <formula>AND($E180&lt;&gt;"",$F180&lt;=0)</formula>
    </cfRule>
  </conditionalFormatting>
  <conditionalFormatting sqref="B180">
    <cfRule type="expression" dxfId="361" priority="360">
      <formula>AND($E180&lt;&gt;"",$F180&gt;4)</formula>
    </cfRule>
    <cfRule type="expression" dxfId="360" priority="361">
      <formula>AND($E180&lt;&gt;"",$F180&lt;=4,$F180&gt;0)</formula>
    </cfRule>
    <cfRule type="expression" dxfId="359" priority="362">
      <formula>AND($E180&lt;&gt;"",$F180&lt;=0)</formula>
    </cfRule>
  </conditionalFormatting>
  <conditionalFormatting sqref="B180">
    <cfRule type="expression" dxfId="358" priority="357">
      <formula>AND($E180&lt;&gt;"",$F180&gt;4)</formula>
    </cfRule>
    <cfRule type="expression" dxfId="357" priority="358">
      <formula>AND($E180&lt;&gt;"",$F180&lt;=4,$F180&gt;0)</formula>
    </cfRule>
    <cfRule type="expression" dxfId="356" priority="359">
      <formula>AND($E180&lt;&gt;"",$F180&lt;=0)</formula>
    </cfRule>
  </conditionalFormatting>
  <conditionalFormatting sqref="B180">
    <cfRule type="expression" dxfId="355" priority="354">
      <formula>AND($E180&lt;&gt;"",$F180&gt;4)</formula>
    </cfRule>
    <cfRule type="expression" dxfId="354" priority="355">
      <formula>AND($E180&lt;&gt;"",$F180&lt;=4,$F180&gt;0)</formula>
    </cfRule>
    <cfRule type="expression" dxfId="353" priority="356">
      <formula>AND($E180&lt;&gt;"",$F180&lt;=0)</formula>
    </cfRule>
  </conditionalFormatting>
  <conditionalFormatting sqref="B181">
    <cfRule type="expression" dxfId="352" priority="351">
      <formula>AND($E181&lt;&gt;"",$F181&gt;4)</formula>
    </cfRule>
    <cfRule type="expression" dxfId="351" priority="352">
      <formula>AND($E181&lt;&gt;"",$F181&lt;=4,$F181&gt;0)</formula>
    </cfRule>
    <cfRule type="expression" dxfId="350" priority="353">
      <formula>AND($E181&lt;&gt;"",$F181&lt;=0)</formula>
    </cfRule>
  </conditionalFormatting>
  <conditionalFormatting sqref="B181">
    <cfRule type="expression" dxfId="349" priority="348">
      <formula>AND($E181&lt;&gt;"",$F181&gt;4)</formula>
    </cfRule>
    <cfRule type="expression" dxfId="348" priority="349">
      <formula>AND($E181&lt;&gt;"",$F181&lt;=4,$F181&gt;0)</formula>
    </cfRule>
    <cfRule type="expression" dxfId="347" priority="350">
      <formula>AND($E181&lt;&gt;"",$F181&lt;=0)</formula>
    </cfRule>
  </conditionalFormatting>
  <conditionalFormatting sqref="B182">
    <cfRule type="expression" dxfId="346" priority="345">
      <formula>AND($E182&lt;&gt;"",$F182&gt;4)</formula>
    </cfRule>
    <cfRule type="expression" dxfId="345" priority="346">
      <formula>AND($E182&lt;&gt;"",$F182&lt;=4,$F182&gt;0)</formula>
    </cfRule>
    <cfRule type="expression" dxfId="344" priority="347">
      <formula>AND($E182&lt;&gt;"",$F182&lt;=0)</formula>
    </cfRule>
  </conditionalFormatting>
  <conditionalFormatting sqref="B182">
    <cfRule type="expression" dxfId="343" priority="342">
      <formula>AND($E182&lt;&gt;"",$F182&gt;4)</formula>
    </cfRule>
    <cfRule type="expression" dxfId="342" priority="343">
      <formula>AND($E182&lt;&gt;"",$F182&lt;=4,$F182&gt;0)</formula>
    </cfRule>
    <cfRule type="expression" dxfId="341" priority="344">
      <formula>AND($E182&lt;&gt;"",$F182&lt;=0)</formula>
    </cfRule>
  </conditionalFormatting>
  <conditionalFormatting sqref="B185">
    <cfRule type="expression" dxfId="340" priority="339">
      <formula>AND($E185&lt;&gt;"",$F185&gt;4)</formula>
    </cfRule>
    <cfRule type="expression" dxfId="339" priority="340">
      <formula>AND($E185&lt;&gt;"",$F185&lt;=4,$F185&gt;0)</formula>
    </cfRule>
    <cfRule type="expression" dxfId="338" priority="341">
      <formula>AND($E185&lt;&gt;"",$F185&lt;=0)</formula>
    </cfRule>
  </conditionalFormatting>
  <conditionalFormatting sqref="B185">
    <cfRule type="expression" dxfId="337" priority="336">
      <formula>AND($E185&lt;&gt;"",$F185&gt;4)</formula>
    </cfRule>
    <cfRule type="expression" dxfId="336" priority="337">
      <formula>AND($E185&lt;&gt;"",$F185&lt;=4,$F185&gt;0)</formula>
    </cfRule>
    <cfRule type="expression" dxfId="335" priority="338">
      <formula>AND($E185&lt;&gt;"",$F185&lt;=0)</formula>
    </cfRule>
  </conditionalFormatting>
  <conditionalFormatting sqref="B186">
    <cfRule type="expression" dxfId="334" priority="333">
      <formula>AND($E186&lt;&gt;"",$F186&gt;4)</formula>
    </cfRule>
    <cfRule type="expression" dxfId="333" priority="334">
      <formula>AND($E186&lt;&gt;"",$F186&lt;=4,$F186&gt;0)</formula>
    </cfRule>
    <cfRule type="expression" dxfId="332" priority="335">
      <formula>AND($E186&lt;&gt;"",$F186&lt;=0)</formula>
    </cfRule>
  </conditionalFormatting>
  <conditionalFormatting sqref="B186">
    <cfRule type="expression" dxfId="331" priority="330">
      <formula>AND($E186&lt;&gt;"",$F186&gt;4)</formula>
    </cfRule>
    <cfRule type="expression" dxfId="330" priority="331">
      <formula>AND($E186&lt;&gt;"",$F186&lt;=4,$F186&gt;0)</formula>
    </cfRule>
    <cfRule type="expression" dxfId="329" priority="332">
      <formula>AND($E186&lt;&gt;"",$F186&lt;=0)</formula>
    </cfRule>
  </conditionalFormatting>
  <conditionalFormatting sqref="B187">
    <cfRule type="expression" dxfId="328" priority="327">
      <formula>AND($E187&lt;&gt;"",$F187&gt;4)</formula>
    </cfRule>
    <cfRule type="expression" dxfId="327" priority="328">
      <formula>AND($E187&lt;&gt;"",$F187&lt;=4,$F187&gt;0)</formula>
    </cfRule>
    <cfRule type="expression" dxfId="326" priority="329">
      <formula>AND($E187&lt;&gt;"",$F187&lt;=0)</formula>
    </cfRule>
  </conditionalFormatting>
  <conditionalFormatting sqref="B187">
    <cfRule type="expression" dxfId="325" priority="324">
      <formula>AND($E187&lt;&gt;"",$F187&gt;4)</formula>
    </cfRule>
    <cfRule type="expression" dxfId="324" priority="325">
      <formula>AND($E187&lt;&gt;"",$F187&lt;=4,$F187&gt;0)</formula>
    </cfRule>
    <cfRule type="expression" dxfId="323" priority="326">
      <formula>AND($E187&lt;&gt;"",$F187&lt;=0)</formula>
    </cfRule>
  </conditionalFormatting>
  <conditionalFormatting sqref="B188">
    <cfRule type="expression" dxfId="322" priority="321">
      <formula>AND($E188&lt;&gt;"",$F188&gt;4)</formula>
    </cfRule>
    <cfRule type="expression" dxfId="321" priority="322">
      <formula>AND($E188&lt;&gt;"",$F188&lt;=4,$F188&gt;0)</formula>
    </cfRule>
    <cfRule type="expression" dxfId="320" priority="323">
      <formula>AND($E188&lt;&gt;"",$F188&lt;=0)</formula>
    </cfRule>
  </conditionalFormatting>
  <conditionalFormatting sqref="B188">
    <cfRule type="expression" dxfId="319" priority="318">
      <formula>AND($E188&lt;&gt;"",$F188&gt;4)</formula>
    </cfRule>
    <cfRule type="expression" dxfId="318" priority="319">
      <formula>AND($E188&lt;&gt;"",$F188&lt;=4,$F188&gt;0)</formula>
    </cfRule>
    <cfRule type="expression" dxfId="317" priority="320">
      <formula>AND($E188&lt;&gt;"",$F188&lt;=0)</formula>
    </cfRule>
  </conditionalFormatting>
  <conditionalFormatting sqref="B189">
    <cfRule type="expression" dxfId="316" priority="315">
      <formula>AND($E189&lt;&gt;"",$F189&gt;4)</formula>
    </cfRule>
    <cfRule type="expression" dxfId="315" priority="316">
      <formula>AND($E189&lt;&gt;"",$F189&lt;=4,$F189&gt;0)</formula>
    </cfRule>
    <cfRule type="expression" dxfId="314" priority="317">
      <formula>AND($E189&lt;&gt;"",$F189&lt;=0)</formula>
    </cfRule>
  </conditionalFormatting>
  <conditionalFormatting sqref="B189">
    <cfRule type="expression" dxfId="313" priority="312">
      <formula>AND($E189&lt;&gt;"",$F189&gt;4)</formula>
    </cfRule>
    <cfRule type="expression" dxfId="312" priority="313">
      <formula>AND($E189&lt;&gt;"",$F189&lt;=4,$F189&gt;0)</formula>
    </cfRule>
    <cfRule type="expression" dxfId="311" priority="314">
      <formula>AND($E189&lt;&gt;"",$F189&lt;=0)</formula>
    </cfRule>
  </conditionalFormatting>
  <conditionalFormatting sqref="B190">
    <cfRule type="expression" dxfId="310" priority="309">
      <formula>AND($E190&lt;&gt;"",$F190&gt;4)</formula>
    </cfRule>
    <cfRule type="expression" dxfId="309" priority="310">
      <formula>AND($E190&lt;&gt;"",$F190&lt;=4,$F190&gt;0)</formula>
    </cfRule>
    <cfRule type="expression" dxfId="308" priority="311">
      <formula>AND($E190&lt;&gt;"",$F190&lt;=0)</formula>
    </cfRule>
  </conditionalFormatting>
  <conditionalFormatting sqref="B190">
    <cfRule type="expression" dxfId="307" priority="306">
      <formula>AND($E190&lt;&gt;"",$F190&gt;4)</formula>
    </cfRule>
    <cfRule type="expression" dxfId="306" priority="307">
      <formula>AND($E190&lt;&gt;"",$F190&lt;=4,$F190&gt;0)</formula>
    </cfRule>
    <cfRule type="expression" dxfId="305" priority="308">
      <formula>AND($E190&lt;&gt;"",$F190&lt;=0)</formula>
    </cfRule>
  </conditionalFormatting>
  <conditionalFormatting sqref="B191">
    <cfRule type="expression" dxfId="304" priority="303">
      <formula>AND($E191&lt;&gt;"",$F191&gt;4)</formula>
    </cfRule>
    <cfRule type="expression" dxfId="303" priority="304">
      <formula>AND($E191&lt;&gt;"",$F191&lt;=4,$F191&gt;0)</formula>
    </cfRule>
    <cfRule type="expression" dxfId="302" priority="305">
      <formula>AND($E191&lt;&gt;"",$F191&lt;=0)</formula>
    </cfRule>
  </conditionalFormatting>
  <conditionalFormatting sqref="B191">
    <cfRule type="expression" dxfId="301" priority="300">
      <formula>AND($E191&lt;&gt;"",$F191&gt;4)</formula>
    </cfRule>
    <cfRule type="expression" dxfId="300" priority="301">
      <formula>AND($E191&lt;&gt;"",$F191&lt;=4,$F191&gt;0)</formula>
    </cfRule>
    <cfRule type="expression" dxfId="299" priority="302">
      <formula>AND($E191&lt;&gt;"",$F191&lt;=0)</formula>
    </cfRule>
  </conditionalFormatting>
  <conditionalFormatting sqref="B193">
    <cfRule type="expression" dxfId="298" priority="297">
      <formula>AND($E193&lt;&gt;"",$F193&gt;4)</formula>
    </cfRule>
    <cfRule type="expression" dxfId="297" priority="298">
      <formula>AND($E193&lt;&gt;"",$F193&lt;=4,$F193&gt;0)</formula>
    </cfRule>
    <cfRule type="expression" dxfId="296" priority="299">
      <formula>AND($E193&lt;&gt;"",$F193&lt;=0)</formula>
    </cfRule>
  </conditionalFormatting>
  <conditionalFormatting sqref="B193">
    <cfRule type="expression" dxfId="295" priority="294">
      <formula>AND($E193&lt;&gt;"",$F193&gt;4)</formula>
    </cfRule>
    <cfRule type="expression" dxfId="294" priority="295">
      <formula>AND($E193&lt;&gt;"",$F193&lt;=4,$F193&gt;0)</formula>
    </cfRule>
    <cfRule type="expression" dxfId="293" priority="296">
      <formula>AND($E193&lt;&gt;"",$F193&lt;=0)</formula>
    </cfRule>
  </conditionalFormatting>
  <conditionalFormatting sqref="B192">
    <cfRule type="expression" dxfId="292" priority="291">
      <formula>AND($E192&lt;&gt;"",$F192&gt;4)</formula>
    </cfRule>
    <cfRule type="expression" dxfId="291" priority="292">
      <formula>AND($E192&lt;&gt;"",$F192&lt;=4,$F192&gt;0)</formula>
    </cfRule>
    <cfRule type="expression" dxfId="290" priority="293">
      <formula>AND($E192&lt;&gt;"",$F192&lt;=0)</formula>
    </cfRule>
  </conditionalFormatting>
  <conditionalFormatting sqref="B192">
    <cfRule type="expression" dxfId="289" priority="288">
      <formula>AND($E192&lt;&gt;"",$F192&gt;4)</formula>
    </cfRule>
    <cfRule type="expression" dxfId="288" priority="289">
      <formula>AND($E192&lt;&gt;"",$F192&lt;=4,$F192&gt;0)</formula>
    </cfRule>
    <cfRule type="expression" dxfId="287" priority="290">
      <formula>AND($E192&lt;&gt;"",$F192&lt;=0)</formula>
    </cfRule>
  </conditionalFormatting>
  <conditionalFormatting sqref="B194:N194">
    <cfRule type="expression" dxfId="286" priority="284">
      <formula>AND($E194&lt;&gt;"",$F194&gt;4)</formula>
    </cfRule>
    <cfRule type="expression" dxfId="285" priority="285">
      <formula>AND($E194&lt;&gt;"",$F194&lt;=4,$F194&gt;0)</formula>
    </cfRule>
    <cfRule type="expression" dxfId="284" priority="286">
      <formula>AND($E194&lt;&gt;"",$F194&lt;=0)</formula>
    </cfRule>
  </conditionalFormatting>
  <conditionalFormatting sqref="J194">
    <cfRule type="expression" dxfId="283" priority="287">
      <formula>$J194="Pending"</formula>
    </cfRule>
  </conditionalFormatting>
  <conditionalFormatting sqref="B194">
    <cfRule type="expression" dxfId="282" priority="281">
      <formula>AND($E194&lt;&gt;"",$F194&gt;4)</formula>
    </cfRule>
    <cfRule type="expression" dxfId="281" priority="282">
      <formula>AND($E194&lt;&gt;"",$F194&lt;=4,$F194&gt;0)</formula>
    </cfRule>
    <cfRule type="expression" dxfId="280" priority="283">
      <formula>AND($E194&lt;&gt;"",$F194&lt;=0)</formula>
    </cfRule>
  </conditionalFormatting>
  <conditionalFormatting sqref="B194">
    <cfRule type="expression" dxfId="279" priority="278">
      <formula>AND($E194&lt;&gt;"",$F194&gt;4)</formula>
    </cfRule>
    <cfRule type="expression" dxfId="278" priority="279">
      <formula>AND($E194&lt;&gt;"",$F194&lt;=4,$F194&gt;0)</formula>
    </cfRule>
    <cfRule type="expression" dxfId="277" priority="280">
      <formula>AND($E194&lt;&gt;"",$F194&lt;=0)</formula>
    </cfRule>
  </conditionalFormatting>
  <conditionalFormatting sqref="B195">
    <cfRule type="expression" dxfId="276" priority="275">
      <formula>AND($E195&lt;&gt;"",$F195&gt;4)</formula>
    </cfRule>
    <cfRule type="expression" dxfId="275" priority="276">
      <formula>AND($E195&lt;&gt;"",$F195&lt;=4,$F195&gt;0)</formula>
    </cfRule>
    <cfRule type="expression" dxfId="274" priority="277">
      <formula>AND($E195&lt;&gt;"",$F195&lt;=0)</formula>
    </cfRule>
  </conditionalFormatting>
  <conditionalFormatting sqref="B195">
    <cfRule type="expression" dxfId="273" priority="272">
      <formula>AND($E195&lt;&gt;"",$F195&gt;4)</formula>
    </cfRule>
    <cfRule type="expression" dxfId="272" priority="273">
      <formula>AND($E195&lt;&gt;"",$F195&lt;=4,$F195&gt;0)</formula>
    </cfRule>
    <cfRule type="expression" dxfId="271" priority="274">
      <formula>AND($E195&lt;&gt;"",$F195&lt;=0)</formula>
    </cfRule>
  </conditionalFormatting>
  <conditionalFormatting sqref="B196">
    <cfRule type="expression" dxfId="270" priority="269">
      <formula>AND($E196&lt;&gt;"",$F196&gt;4)</formula>
    </cfRule>
    <cfRule type="expression" dxfId="269" priority="270">
      <formula>AND($E196&lt;&gt;"",$F196&lt;=4,$F196&gt;0)</formula>
    </cfRule>
    <cfRule type="expression" dxfId="268" priority="271">
      <formula>AND($E196&lt;&gt;"",$F196&lt;=0)</formula>
    </cfRule>
  </conditionalFormatting>
  <conditionalFormatting sqref="B196">
    <cfRule type="expression" dxfId="267" priority="266">
      <formula>AND($E196&lt;&gt;"",$F196&gt;4)</formula>
    </cfRule>
    <cfRule type="expression" dxfId="266" priority="267">
      <formula>AND($E196&lt;&gt;"",$F196&lt;=4,$F196&gt;0)</formula>
    </cfRule>
    <cfRule type="expression" dxfId="265" priority="268">
      <formula>AND($E196&lt;&gt;"",$F196&lt;=0)</formula>
    </cfRule>
  </conditionalFormatting>
  <conditionalFormatting sqref="B197">
    <cfRule type="expression" dxfId="264" priority="263">
      <formula>AND($E197&lt;&gt;"",$F197&gt;4)</formula>
    </cfRule>
    <cfRule type="expression" dxfId="263" priority="264">
      <formula>AND($E197&lt;&gt;"",$F197&lt;=4,$F197&gt;0)</formula>
    </cfRule>
    <cfRule type="expression" dxfId="262" priority="265">
      <formula>AND($E197&lt;&gt;"",$F197&lt;=0)</formula>
    </cfRule>
  </conditionalFormatting>
  <conditionalFormatting sqref="B197">
    <cfRule type="expression" dxfId="261" priority="260">
      <formula>AND($E197&lt;&gt;"",$F197&gt;4)</formula>
    </cfRule>
    <cfRule type="expression" dxfId="260" priority="261">
      <formula>AND($E197&lt;&gt;"",$F197&lt;=4,$F197&gt;0)</formula>
    </cfRule>
    <cfRule type="expression" dxfId="259" priority="262">
      <formula>AND($E197&lt;&gt;"",$F197&lt;=0)</formula>
    </cfRule>
  </conditionalFormatting>
  <conditionalFormatting sqref="B198">
    <cfRule type="expression" dxfId="258" priority="257">
      <formula>AND($E198&lt;&gt;"",$F198&gt;4)</formula>
    </cfRule>
    <cfRule type="expression" dxfId="257" priority="258">
      <formula>AND($E198&lt;&gt;"",$F198&lt;=4,$F198&gt;0)</formula>
    </cfRule>
    <cfRule type="expression" dxfId="256" priority="259">
      <formula>AND($E198&lt;&gt;"",$F198&lt;=0)</formula>
    </cfRule>
  </conditionalFormatting>
  <conditionalFormatting sqref="B198">
    <cfRule type="expression" dxfId="255" priority="254">
      <formula>AND($E198&lt;&gt;"",$F198&gt;4)</formula>
    </cfRule>
    <cfRule type="expression" dxfId="254" priority="255">
      <formula>AND($E198&lt;&gt;"",$F198&lt;=4,$F198&gt;0)</formula>
    </cfRule>
    <cfRule type="expression" dxfId="253" priority="256">
      <formula>AND($E198&lt;&gt;"",$F198&lt;=0)</formula>
    </cfRule>
  </conditionalFormatting>
  <conditionalFormatting sqref="B199">
    <cfRule type="expression" dxfId="252" priority="251">
      <formula>AND($E199&lt;&gt;"",$F199&gt;4)</formula>
    </cfRule>
    <cfRule type="expression" dxfId="251" priority="252">
      <formula>AND($E199&lt;&gt;"",$F199&lt;=4,$F199&gt;0)</formula>
    </cfRule>
    <cfRule type="expression" dxfId="250" priority="253">
      <formula>AND($E199&lt;&gt;"",$F199&lt;=0)</formula>
    </cfRule>
  </conditionalFormatting>
  <conditionalFormatting sqref="B199">
    <cfRule type="expression" dxfId="249" priority="248">
      <formula>AND($E199&lt;&gt;"",$F199&gt;4)</formula>
    </cfRule>
    <cfRule type="expression" dxfId="248" priority="249">
      <formula>AND($E199&lt;&gt;"",$F199&lt;=4,$F199&gt;0)</formula>
    </cfRule>
    <cfRule type="expression" dxfId="247" priority="250">
      <formula>AND($E199&lt;&gt;"",$F199&lt;=0)</formula>
    </cfRule>
  </conditionalFormatting>
  <conditionalFormatting sqref="B199">
    <cfRule type="expression" dxfId="246" priority="245">
      <formula>AND($E199&lt;&gt;"",$F199&gt;4)</formula>
    </cfRule>
    <cfRule type="expression" dxfId="245" priority="246">
      <formula>AND($E199&lt;&gt;"",$F199&lt;=4,$F199&gt;0)</formula>
    </cfRule>
    <cfRule type="expression" dxfId="244" priority="247">
      <formula>AND($E199&lt;&gt;"",$F199&lt;=0)</formula>
    </cfRule>
  </conditionalFormatting>
  <conditionalFormatting sqref="B199">
    <cfRule type="expression" dxfId="243" priority="242">
      <formula>AND($E199&lt;&gt;"",$F199&gt;4)</formula>
    </cfRule>
    <cfRule type="expression" dxfId="242" priority="243">
      <formula>AND($E199&lt;&gt;"",$F199&lt;=4,$F199&gt;0)</formula>
    </cfRule>
    <cfRule type="expression" dxfId="241" priority="244">
      <formula>AND($E199&lt;&gt;"",$F199&lt;=0)</formula>
    </cfRule>
  </conditionalFormatting>
  <conditionalFormatting sqref="B200">
    <cfRule type="expression" dxfId="240" priority="239">
      <formula>AND($E200&lt;&gt;"",$F200&gt;4)</formula>
    </cfRule>
    <cfRule type="expression" dxfId="239" priority="240">
      <formula>AND($E200&lt;&gt;"",$F200&lt;=4,$F200&gt;0)</formula>
    </cfRule>
    <cfRule type="expression" dxfId="238" priority="241">
      <formula>AND($E200&lt;&gt;"",$F200&lt;=0)</formula>
    </cfRule>
  </conditionalFormatting>
  <conditionalFormatting sqref="B200">
    <cfRule type="expression" dxfId="237" priority="236">
      <formula>AND($E200&lt;&gt;"",$F200&gt;4)</formula>
    </cfRule>
    <cfRule type="expression" dxfId="236" priority="237">
      <formula>AND($E200&lt;&gt;"",$F200&lt;=4,$F200&gt;0)</formula>
    </cfRule>
    <cfRule type="expression" dxfId="235" priority="238">
      <formula>AND($E200&lt;&gt;"",$F200&lt;=0)</formula>
    </cfRule>
  </conditionalFormatting>
  <conditionalFormatting sqref="B201">
    <cfRule type="expression" dxfId="234" priority="233">
      <formula>AND($E201&lt;&gt;"",$F201&gt;4)</formula>
    </cfRule>
    <cfRule type="expression" dxfId="233" priority="234">
      <formula>AND($E201&lt;&gt;"",$F201&lt;=4,$F201&gt;0)</formula>
    </cfRule>
    <cfRule type="expression" dxfId="232" priority="235">
      <formula>AND($E201&lt;&gt;"",$F201&lt;=0)</formula>
    </cfRule>
  </conditionalFormatting>
  <conditionalFormatting sqref="B201">
    <cfRule type="expression" dxfId="231" priority="230">
      <formula>AND($E201&lt;&gt;"",$F201&gt;4)</formula>
    </cfRule>
    <cfRule type="expression" dxfId="230" priority="231">
      <formula>AND($E201&lt;&gt;"",$F201&lt;=4,$F201&gt;0)</formula>
    </cfRule>
    <cfRule type="expression" dxfId="229" priority="232">
      <formula>AND($E201&lt;&gt;"",$F201&lt;=0)</formula>
    </cfRule>
  </conditionalFormatting>
  <conditionalFormatting sqref="B202">
    <cfRule type="expression" dxfId="228" priority="227">
      <formula>AND($E202&lt;&gt;"",$F202&gt;4)</formula>
    </cfRule>
    <cfRule type="expression" dxfId="227" priority="228">
      <formula>AND($E202&lt;&gt;"",$F202&lt;=4,$F202&gt;0)</formula>
    </cfRule>
    <cfRule type="expression" dxfId="226" priority="229">
      <formula>AND($E202&lt;&gt;"",$F202&lt;=0)</formula>
    </cfRule>
  </conditionalFormatting>
  <conditionalFormatting sqref="B202">
    <cfRule type="expression" dxfId="225" priority="224">
      <formula>AND($E202&lt;&gt;"",$F202&gt;4)</formula>
    </cfRule>
    <cfRule type="expression" dxfId="224" priority="225">
      <formula>AND($E202&lt;&gt;"",$F202&lt;=4,$F202&gt;0)</formula>
    </cfRule>
    <cfRule type="expression" dxfId="223" priority="226">
      <formula>AND($E202&lt;&gt;"",$F202&lt;=0)</formula>
    </cfRule>
  </conditionalFormatting>
  <conditionalFormatting sqref="B203">
    <cfRule type="expression" dxfId="222" priority="221">
      <formula>AND($E203&lt;&gt;"",$F203&gt;4)</formula>
    </cfRule>
    <cfRule type="expression" dxfId="221" priority="222">
      <formula>AND($E203&lt;&gt;"",$F203&lt;=4,$F203&gt;0)</formula>
    </cfRule>
    <cfRule type="expression" dxfId="220" priority="223">
      <formula>AND($E203&lt;&gt;"",$F203&lt;=0)</formula>
    </cfRule>
  </conditionalFormatting>
  <conditionalFormatting sqref="B203">
    <cfRule type="expression" dxfId="219" priority="218">
      <formula>AND($E203&lt;&gt;"",$F203&gt;4)</formula>
    </cfRule>
    <cfRule type="expression" dxfId="218" priority="219">
      <formula>AND($E203&lt;&gt;"",$F203&lt;=4,$F203&gt;0)</formula>
    </cfRule>
    <cfRule type="expression" dxfId="217" priority="220">
      <formula>AND($E203&lt;&gt;"",$F203&lt;=0)</formula>
    </cfRule>
  </conditionalFormatting>
  <conditionalFormatting sqref="B204">
    <cfRule type="expression" dxfId="216" priority="215">
      <formula>AND($E204&lt;&gt;"",$F204&gt;4)</formula>
    </cfRule>
    <cfRule type="expression" dxfId="215" priority="216">
      <formula>AND($E204&lt;&gt;"",$F204&lt;=4,$F204&gt;0)</formula>
    </cfRule>
    <cfRule type="expression" dxfId="214" priority="217">
      <formula>AND($E204&lt;&gt;"",$F204&lt;=0)</formula>
    </cfRule>
  </conditionalFormatting>
  <conditionalFormatting sqref="B204">
    <cfRule type="expression" dxfId="213" priority="212">
      <formula>AND($E204&lt;&gt;"",$F204&gt;4)</formula>
    </cfRule>
    <cfRule type="expression" dxfId="212" priority="213">
      <formula>AND($E204&lt;&gt;"",$F204&lt;=4,$F204&gt;0)</formula>
    </cfRule>
    <cfRule type="expression" dxfId="211" priority="214">
      <formula>AND($E204&lt;&gt;"",$F204&lt;=0)</formula>
    </cfRule>
  </conditionalFormatting>
  <conditionalFormatting sqref="B205">
    <cfRule type="expression" dxfId="210" priority="209">
      <formula>AND($E205&lt;&gt;"",$F205&gt;4)</formula>
    </cfRule>
    <cfRule type="expression" dxfId="209" priority="210">
      <formula>AND($E205&lt;&gt;"",$F205&lt;=4,$F205&gt;0)</formula>
    </cfRule>
    <cfRule type="expression" dxfId="208" priority="211">
      <formula>AND($E205&lt;&gt;"",$F205&lt;=0)</formula>
    </cfRule>
  </conditionalFormatting>
  <conditionalFormatting sqref="B205">
    <cfRule type="expression" dxfId="207" priority="206">
      <formula>AND($E205&lt;&gt;"",$F205&gt;4)</formula>
    </cfRule>
    <cfRule type="expression" dxfId="206" priority="207">
      <formula>AND($E205&lt;&gt;"",$F205&lt;=4,$F205&gt;0)</formula>
    </cfRule>
    <cfRule type="expression" dxfId="205" priority="208">
      <formula>AND($E205&lt;&gt;"",$F205&lt;=0)</formula>
    </cfRule>
  </conditionalFormatting>
  <conditionalFormatting sqref="B206">
    <cfRule type="expression" dxfId="204" priority="203">
      <formula>AND($E206&lt;&gt;"",$F206&gt;4)</formula>
    </cfRule>
    <cfRule type="expression" dxfId="203" priority="204">
      <formula>AND($E206&lt;&gt;"",$F206&lt;=4,$F206&gt;0)</formula>
    </cfRule>
    <cfRule type="expression" dxfId="202" priority="205">
      <formula>AND($E206&lt;&gt;"",$F206&lt;=0)</formula>
    </cfRule>
  </conditionalFormatting>
  <conditionalFormatting sqref="B206">
    <cfRule type="expression" dxfId="201" priority="200">
      <formula>AND($E206&lt;&gt;"",$F206&gt;4)</formula>
    </cfRule>
    <cfRule type="expression" dxfId="200" priority="201">
      <formula>AND($E206&lt;&gt;"",$F206&lt;=4,$F206&gt;0)</formula>
    </cfRule>
    <cfRule type="expression" dxfId="199" priority="202">
      <formula>AND($E206&lt;&gt;"",$F206&lt;=0)</formula>
    </cfRule>
  </conditionalFormatting>
  <conditionalFormatting sqref="B207">
    <cfRule type="expression" dxfId="198" priority="197">
      <formula>AND($E207&lt;&gt;"",$F207&gt;4)</formula>
    </cfRule>
    <cfRule type="expression" dxfId="197" priority="198">
      <formula>AND($E207&lt;&gt;"",$F207&lt;=4,$F207&gt;0)</formula>
    </cfRule>
    <cfRule type="expression" dxfId="196" priority="199">
      <formula>AND($E207&lt;&gt;"",$F207&lt;=0)</formula>
    </cfRule>
  </conditionalFormatting>
  <conditionalFormatting sqref="B207">
    <cfRule type="expression" dxfId="195" priority="194">
      <formula>AND($E207&lt;&gt;"",$F207&gt;4)</formula>
    </cfRule>
    <cfRule type="expression" dxfId="194" priority="195">
      <formula>AND($E207&lt;&gt;"",$F207&lt;=4,$F207&gt;0)</formula>
    </cfRule>
    <cfRule type="expression" dxfId="193" priority="196">
      <formula>AND($E207&lt;&gt;"",$F207&lt;=0)</formula>
    </cfRule>
  </conditionalFormatting>
  <conditionalFormatting sqref="B211">
    <cfRule type="expression" dxfId="192" priority="191">
      <formula>AND($E211&lt;&gt;"",$F211&gt;4)</formula>
    </cfRule>
    <cfRule type="expression" dxfId="191" priority="192">
      <formula>AND($E211&lt;&gt;"",$F211&lt;=4,$F211&gt;0)</formula>
    </cfRule>
    <cfRule type="expression" dxfId="190" priority="193">
      <formula>AND($E211&lt;&gt;"",$F211&lt;=0)</formula>
    </cfRule>
  </conditionalFormatting>
  <conditionalFormatting sqref="B211">
    <cfRule type="expression" dxfId="189" priority="188">
      <formula>AND($E211&lt;&gt;"",$F211&gt;4)</formula>
    </cfRule>
    <cfRule type="expression" dxfId="188" priority="189">
      <formula>AND($E211&lt;&gt;"",$F211&lt;=4,$F211&gt;0)</formula>
    </cfRule>
    <cfRule type="expression" dxfId="187" priority="190">
      <formula>AND($E211&lt;&gt;"",$F211&lt;=0)</formula>
    </cfRule>
  </conditionalFormatting>
  <conditionalFormatting sqref="B211">
    <cfRule type="expression" dxfId="186" priority="185">
      <formula>AND($E211&lt;&gt;"",$F211&gt;4)</formula>
    </cfRule>
    <cfRule type="expression" dxfId="185" priority="186">
      <formula>AND($E211&lt;&gt;"",$F211&lt;=4,$F211&gt;0)</formula>
    </cfRule>
    <cfRule type="expression" dxfId="184" priority="187">
      <formula>AND($E211&lt;&gt;"",$F211&lt;=0)</formula>
    </cfRule>
  </conditionalFormatting>
  <conditionalFormatting sqref="B211">
    <cfRule type="expression" dxfId="183" priority="182">
      <formula>AND($E211&lt;&gt;"",$F211&gt;4)</formula>
    </cfRule>
    <cfRule type="expression" dxfId="182" priority="183">
      <formula>AND($E211&lt;&gt;"",$F211&lt;=4,$F211&gt;0)</formula>
    </cfRule>
    <cfRule type="expression" dxfId="181" priority="184">
      <formula>AND($E211&lt;&gt;"",$F211&lt;=0)</formula>
    </cfRule>
  </conditionalFormatting>
  <conditionalFormatting sqref="B209">
    <cfRule type="expression" dxfId="180" priority="179">
      <formula>AND($E209&lt;&gt;"",$F209&gt;4)</formula>
    </cfRule>
    <cfRule type="expression" dxfId="179" priority="180">
      <formula>AND($E209&lt;&gt;"",$F209&lt;=4,$F209&gt;0)</formula>
    </cfRule>
    <cfRule type="expression" dxfId="178" priority="181">
      <formula>AND($E209&lt;&gt;"",$F209&lt;=0)</formula>
    </cfRule>
  </conditionalFormatting>
  <conditionalFormatting sqref="B209">
    <cfRule type="expression" dxfId="177" priority="176">
      <formula>AND($E209&lt;&gt;"",$F209&gt;4)</formula>
    </cfRule>
    <cfRule type="expression" dxfId="176" priority="177">
      <formula>AND($E209&lt;&gt;"",$F209&lt;=4,$F209&gt;0)</formula>
    </cfRule>
    <cfRule type="expression" dxfId="175" priority="178">
      <formula>AND($E209&lt;&gt;"",$F209&lt;=0)</formula>
    </cfRule>
  </conditionalFormatting>
  <conditionalFormatting sqref="B209">
    <cfRule type="expression" dxfId="174" priority="173">
      <formula>AND($E209&lt;&gt;"",$F209&gt;4)</formula>
    </cfRule>
    <cfRule type="expression" dxfId="173" priority="174">
      <formula>AND($E209&lt;&gt;"",$F209&lt;=4,$F209&gt;0)</formula>
    </cfRule>
    <cfRule type="expression" dxfId="172" priority="175">
      <formula>AND($E209&lt;&gt;"",$F209&lt;=0)</formula>
    </cfRule>
  </conditionalFormatting>
  <conditionalFormatting sqref="B209">
    <cfRule type="expression" dxfId="171" priority="170">
      <formula>AND($E209&lt;&gt;"",$F209&gt;4)</formula>
    </cfRule>
    <cfRule type="expression" dxfId="170" priority="171">
      <formula>AND($E209&lt;&gt;"",$F209&lt;=4,$F209&gt;0)</formula>
    </cfRule>
    <cfRule type="expression" dxfId="169" priority="172">
      <formula>AND($E209&lt;&gt;"",$F209&lt;=0)</formula>
    </cfRule>
  </conditionalFormatting>
  <conditionalFormatting sqref="B212">
    <cfRule type="expression" dxfId="168" priority="167">
      <formula>AND($E212&lt;&gt;"",$F212&gt;4)</formula>
    </cfRule>
    <cfRule type="expression" dxfId="167" priority="168">
      <formula>AND($E212&lt;&gt;"",$F212&lt;=4,$F212&gt;0)</formula>
    </cfRule>
    <cfRule type="expression" dxfId="166" priority="169">
      <formula>AND($E212&lt;&gt;"",$F212&lt;=0)</formula>
    </cfRule>
  </conditionalFormatting>
  <conditionalFormatting sqref="B212">
    <cfRule type="expression" dxfId="165" priority="164">
      <formula>AND($E212&lt;&gt;"",$F212&gt;4)</formula>
    </cfRule>
    <cfRule type="expression" dxfId="164" priority="165">
      <formula>AND($E212&lt;&gt;"",$F212&lt;=4,$F212&gt;0)</formula>
    </cfRule>
    <cfRule type="expression" dxfId="163" priority="166">
      <formula>AND($E212&lt;&gt;"",$F212&lt;=0)</formula>
    </cfRule>
  </conditionalFormatting>
  <conditionalFormatting sqref="B213">
    <cfRule type="expression" dxfId="162" priority="161">
      <formula>AND($E213&lt;&gt;"",$F213&gt;4)</formula>
    </cfRule>
    <cfRule type="expression" dxfId="161" priority="162">
      <formula>AND($E213&lt;&gt;"",$F213&lt;=4,$F213&gt;0)</formula>
    </cfRule>
    <cfRule type="expression" dxfId="160" priority="163">
      <formula>AND($E213&lt;&gt;"",$F213&lt;=0)</formula>
    </cfRule>
  </conditionalFormatting>
  <conditionalFormatting sqref="B213">
    <cfRule type="expression" dxfId="159" priority="158">
      <formula>AND($E213&lt;&gt;"",$F213&gt;4)</formula>
    </cfRule>
    <cfRule type="expression" dxfId="158" priority="159">
      <formula>AND($E213&lt;&gt;"",$F213&lt;=4,$F213&gt;0)</formula>
    </cfRule>
    <cfRule type="expression" dxfId="157" priority="160">
      <formula>AND($E213&lt;&gt;"",$F213&lt;=0)</formula>
    </cfRule>
  </conditionalFormatting>
  <conditionalFormatting sqref="B214">
    <cfRule type="expression" dxfId="156" priority="155">
      <formula>AND($E214&lt;&gt;"",$F214&gt;4)</formula>
    </cfRule>
    <cfRule type="expression" dxfId="155" priority="156">
      <formula>AND($E214&lt;&gt;"",$F214&lt;=4,$F214&gt;0)</formula>
    </cfRule>
    <cfRule type="expression" dxfId="154" priority="157">
      <formula>AND($E214&lt;&gt;"",$F214&lt;=0)</formula>
    </cfRule>
  </conditionalFormatting>
  <conditionalFormatting sqref="B214">
    <cfRule type="expression" dxfId="153" priority="152">
      <formula>AND($E214&lt;&gt;"",$F214&gt;4)</formula>
    </cfRule>
    <cfRule type="expression" dxfId="152" priority="153">
      <formula>AND($E214&lt;&gt;"",$F214&lt;=4,$F214&gt;0)</formula>
    </cfRule>
    <cfRule type="expression" dxfId="151" priority="154">
      <formula>AND($E214&lt;&gt;"",$F214&lt;=0)</formula>
    </cfRule>
  </conditionalFormatting>
  <conditionalFormatting sqref="B215">
    <cfRule type="expression" dxfId="150" priority="149">
      <formula>AND($E215&lt;&gt;"",$F215&gt;4)</formula>
    </cfRule>
    <cfRule type="expression" dxfId="149" priority="150">
      <formula>AND($E215&lt;&gt;"",$F215&lt;=4,$F215&gt;0)</formula>
    </cfRule>
    <cfRule type="expression" dxfId="148" priority="151">
      <formula>AND($E215&lt;&gt;"",$F215&lt;=0)</formula>
    </cfRule>
  </conditionalFormatting>
  <conditionalFormatting sqref="B215">
    <cfRule type="expression" dxfId="147" priority="146">
      <formula>AND($E215&lt;&gt;"",$F215&gt;4)</formula>
    </cfRule>
    <cfRule type="expression" dxfId="146" priority="147">
      <formula>AND($E215&lt;&gt;"",$F215&lt;=4,$F215&gt;0)</formula>
    </cfRule>
    <cfRule type="expression" dxfId="145" priority="148">
      <formula>AND($E215&lt;&gt;"",$F215&lt;=0)</formula>
    </cfRule>
  </conditionalFormatting>
  <conditionalFormatting sqref="B216">
    <cfRule type="expression" dxfId="144" priority="143">
      <formula>AND($E216&lt;&gt;"",$F216&gt;4)</formula>
    </cfRule>
    <cfRule type="expression" dxfId="143" priority="144">
      <formula>AND($E216&lt;&gt;"",$F216&lt;=4,$F216&gt;0)</formula>
    </cfRule>
    <cfRule type="expression" dxfId="142" priority="145">
      <formula>AND($E216&lt;&gt;"",$F216&lt;=0)</formula>
    </cfRule>
  </conditionalFormatting>
  <conditionalFormatting sqref="B216">
    <cfRule type="expression" dxfId="141" priority="140">
      <formula>AND($E216&lt;&gt;"",$F216&gt;4)</formula>
    </cfRule>
    <cfRule type="expression" dxfId="140" priority="141">
      <formula>AND($E216&lt;&gt;"",$F216&lt;=4,$F216&gt;0)</formula>
    </cfRule>
    <cfRule type="expression" dxfId="139" priority="142">
      <formula>AND($E216&lt;&gt;"",$F216&lt;=0)</formula>
    </cfRule>
  </conditionalFormatting>
  <conditionalFormatting sqref="B216">
    <cfRule type="expression" dxfId="138" priority="137">
      <formula>AND($E216&lt;&gt;"",$F216&gt;4)</formula>
    </cfRule>
    <cfRule type="expression" dxfId="137" priority="138">
      <formula>AND($E216&lt;&gt;"",$F216&lt;=4,$F216&gt;0)</formula>
    </cfRule>
    <cfRule type="expression" dxfId="136" priority="139">
      <formula>AND($E216&lt;&gt;"",$F216&lt;=0)</formula>
    </cfRule>
  </conditionalFormatting>
  <conditionalFormatting sqref="B216">
    <cfRule type="expression" dxfId="135" priority="134">
      <formula>AND($E216&lt;&gt;"",$F216&gt;4)</formula>
    </cfRule>
    <cfRule type="expression" dxfId="134" priority="135">
      <formula>AND($E216&lt;&gt;"",$F216&lt;=4,$F216&gt;0)</formula>
    </cfRule>
    <cfRule type="expression" dxfId="133" priority="136">
      <formula>AND($E216&lt;&gt;"",$F216&lt;=0)</formula>
    </cfRule>
  </conditionalFormatting>
  <conditionalFormatting sqref="B217">
    <cfRule type="expression" dxfId="132" priority="131">
      <formula>AND($E217&lt;&gt;"",$F217&gt;4)</formula>
    </cfRule>
    <cfRule type="expression" dxfId="131" priority="132">
      <formula>AND($E217&lt;&gt;"",$F217&lt;=4,$F217&gt;0)</formula>
    </cfRule>
    <cfRule type="expression" dxfId="130" priority="133">
      <formula>AND($E217&lt;&gt;"",$F217&lt;=0)</formula>
    </cfRule>
  </conditionalFormatting>
  <conditionalFormatting sqref="B217">
    <cfRule type="expression" dxfId="129" priority="128">
      <formula>AND($E217&lt;&gt;"",$F217&gt;4)</formula>
    </cfRule>
    <cfRule type="expression" dxfId="128" priority="129">
      <formula>AND($E217&lt;&gt;"",$F217&lt;=4,$F217&gt;0)</formula>
    </cfRule>
    <cfRule type="expression" dxfId="127" priority="130">
      <formula>AND($E217&lt;&gt;"",$F217&lt;=0)</formula>
    </cfRule>
  </conditionalFormatting>
  <conditionalFormatting sqref="B218">
    <cfRule type="expression" dxfId="126" priority="125">
      <formula>AND($E218&lt;&gt;"",$F218&gt;4)</formula>
    </cfRule>
    <cfRule type="expression" dxfId="125" priority="126">
      <formula>AND($E218&lt;&gt;"",$F218&lt;=4,$F218&gt;0)</formula>
    </cfRule>
    <cfRule type="expression" dxfId="124" priority="127">
      <formula>AND($E218&lt;&gt;"",$F218&lt;=0)</formula>
    </cfRule>
  </conditionalFormatting>
  <conditionalFormatting sqref="B218">
    <cfRule type="expression" dxfId="123" priority="122">
      <formula>AND($E218&lt;&gt;"",$F218&gt;4)</formula>
    </cfRule>
    <cfRule type="expression" dxfId="122" priority="123">
      <formula>AND($E218&lt;&gt;"",$F218&lt;=4,$F218&gt;0)</formula>
    </cfRule>
    <cfRule type="expression" dxfId="121" priority="124">
      <formula>AND($E218&lt;&gt;"",$F218&lt;=0)</formula>
    </cfRule>
  </conditionalFormatting>
  <conditionalFormatting sqref="B219">
    <cfRule type="expression" dxfId="120" priority="119">
      <formula>AND($E219&lt;&gt;"",$F219&gt;4)</formula>
    </cfRule>
    <cfRule type="expression" dxfId="119" priority="120">
      <formula>AND($E219&lt;&gt;"",$F219&lt;=4,$F219&gt;0)</formula>
    </cfRule>
    <cfRule type="expression" dxfId="118" priority="121">
      <formula>AND($E219&lt;&gt;"",$F219&lt;=0)</formula>
    </cfRule>
  </conditionalFormatting>
  <conditionalFormatting sqref="B219">
    <cfRule type="expression" dxfId="117" priority="116">
      <formula>AND($E219&lt;&gt;"",$F219&gt;4)</formula>
    </cfRule>
    <cfRule type="expression" dxfId="116" priority="117">
      <formula>AND($E219&lt;&gt;"",$F219&lt;=4,$F219&gt;0)</formula>
    </cfRule>
    <cfRule type="expression" dxfId="115" priority="118">
      <formula>AND($E219&lt;&gt;"",$F219&lt;=0)</formula>
    </cfRule>
  </conditionalFormatting>
  <conditionalFormatting sqref="B220">
    <cfRule type="expression" dxfId="114" priority="113">
      <formula>AND($E220&lt;&gt;"",$F220&gt;4)</formula>
    </cfRule>
    <cfRule type="expression" dxfId="113" priority="114">
      <formula>AND($E220&lt;&gt;"",$F220&lt;=4,$F220&gt;0)</formula>
    </cfRule>
    <cfRule type="expression" dxfId="112" priority="115">
      <formula>AND($E220&lt;&gt;"",$F220&lt;=0)</formula>
    </cfRule>
  </conditionalFormatting>
  <conditionalFormatting sqref="B220">
    <cfRule type="expression" dxfId="111" priority="110">
      <formula>AND($E220&lt;&gt;"",$F220&gt;4)</formula>
    </cfRule>
    <cfRule type="expression" dxfId="110" priority="111">
      <formula>AND($E220&lt;&gt;"",$F220&lt;=4,$F220&gt;0)</formula>
    </cfRule>
    <cfRule type="expression" dxfId="109" priority="112">
      <formula>AND($E220&lt;&gt;"",$F220&lt;=0)</formula>
    </cfRule>
  </conditionalFormatting>
  <conditionalFormatting sqref="B221">
    <cfRule type="expression" dxfId="108" priority="107">
      <formula>AND($E221&lt;&gt;"",$F221&gt;4)</formula>
    </cfRule>
    <cfRule type="expression" dxfId="107" priority="108">
      <formula>AND($E221&lt;&gt;"",$F221&lt;=4,$F221&gt;0)</formula>
    </cfRule>
    <cfRule type="expression" dxfId="106" priority="109">
      <formula>AND($E221&lt;&gt;"",$F221&lt;=0)</formula>
    </cfRule>
  </conditionalFormatting>
  <conditionalFormatting sqref="B221">
    <cfRule type="expression" dxfId="105" priority="104">
      <formula>AND($E221&lt;&gt;"",$F221&gt;4)</formula>
    </cfRule>
    <cfRule type="expression" dxfId="104" priority="105">
      <formula>AND($E221&lt;&gt;"",$F221&lt;=4,$F221&gt;0)</formula>
    </cfRule>
    <cfRule type="expression" dxfId="103" priority="106">
      <formula>AND($E221&lt;&gt;"",$F221&lt;=0)</formula>
    </cfRule>
  </conditionalFormatting>
  <conditionalFormatting sqref="B222">
    <cfRule type="expression" dxfId="102" priority="101">
      <formula>AND($E222&lt;&gt;"",$F222&gt;4)</formula>
    </cfRule>
    <cfRule type="expression" dxfId="101" priority="102">
      <formula>AND($E222&lt;&gt;"",$F222&lt;=4,$F222&gt;0)</formula>
    </cfRule>
    <cfRule type="expression" dxfId="100" priority="103">
      <formula>AND($E222&lt;&gt;"",$F222&lt;=0)</formula>
    </cfRule>
  </conditionalFormatting>
  <conditionalFormatting sqref="B222">
    <cfRule type="expression" dxfId="99" priority="98">
      <formula>AND($E222&lt;&gt;"",$F222&gt;4)</formula>
    </cfRule>
    <cfRule type="expression" dxfId="98" priority="99">
      <formula>AND($E222&lt;&gt;"",$F222&lt;=4,$F222&gt;0)</formula>
    </cfRule>
    <cfRule type="expression" dxfId="97" priority="100">
      <formula>AND($E222&lt;&gt;"",$F222&lt;=0)</formula>
    </cfRule>
  </conditionalFormatting>
  <conditionalFormatting sqref="B223">
    <cfRule type="expression" dxfId="96" priority="95">
      <formula>AND($E223&lt;&gt;"",$F223&gt;4)</formula>
    </cfRule>
    <cfRule type="expression" dxfId="95" priority="96">
      <formula>AND($E223&lt;&gt;"",$F223&lt;=4,$F223&gt;0)</formula>
    </cfRule>
    <cfRule type="expression" dxfId="94" priority="97">
      <formula>AND($E223&lt;&gt;"",$F223&lt;=0)</formula>
    </cfRule>
  </conditionalFormatting>
  <conditionalFormatting sqref="B223">
    <cfRule type="expression" dxfId="93" priority="92">
      <formula>AND($E223&lt;&gt;"",$F223&gt;4)</formula>
    </cfRule>
    <cfRule type="expression" dxfId="92" priority="93">
      <formula>AND($E223&lt;&gt;"",$F223&lt;=4,$F223&gt;0)</formula>
    </cfRule>
    <cfRule type="expression" dxfId="91" priority="94">
      <formula>AND($E223&lt;&gt;"",$F223&lt;=0)</formula>
    </cfRule>
  </conditionalFormatting>
  <conditionalFormatting sqref="B225">
    <cfRule type="expression" dxfId="90" priority="89">
      <formula>AND($E225&lt;&gt;"",$F225&gt;4)</formula>
    </cfRule>
    <cfRule type="expression" dxfId="89" priority="90">
      <formula>AND($E225&lt;&gt;"",$F225&lt;=4,$F225&gt;0)</formula>
    </cfRule>
    <cfRule type="expression" dxfId="88" priority="91">
      <formula>AND($E225&lt;&gt;"",$F225&lt;=0)</formula>
    </cfRule>
  </conditionalFormatting>
  <conditionalFormatting sqref="B225">
    <cfRule type="expression" dxfId="87" priority="86">
      <formula>AND($E225&lt;&gt;"",$F225&gt;4)</formula>
    </cfRule>
    <cfRule type="expression" dxfId="86" priority="87">
      <formula>AND($E225&lt;&gt;"",$F225&lt;=4,$F225&gt;0)</formula>
    </cfRule>
    <cfRule type="expression" dxfId="85" priority="88">
      <formula>AND($E225&lt;&gt;"",$F225&lt;=0)</formula>
    </cfRule>
  </conditionalFormatting>
  <conditionalFormatting sqref="B226">
    <cfRule type="expression" dxfId="84" priority="83">
      <formula>AND($E226&lt;&gt;"",$F226&gt;4)</formula>
    </cfRule>
    <cfRule type="expression" dxfId="83" priority="84">
      <formula>AND($E226&lt;&gt;"",$F226&lt;=4,$F226&gt;0)</formula>
    </cfRule>
    <cfRule type="expression" dxfId="82" priority="85">
      <formula>AND($E226&lt;&gt;"",$F226&lt;=0)</formula>
    </cfRule>
  </conditionalFormatting>
  <conditionalFormatting sqref="B226">
    <cfRule type="expression" dxfId="81" priority="80">
      <formula>AND($E226&lt;&gt;"",$F226&gt;4)</formula>
    </cfRule>
    <cfRule type="expression" dxfId="80" priority="81">
      <formula>AND($E226&lt;&gt;"",$F226&lt;=4,$F226&gt;0)</formula>
    </cfRule>
    <cfRule type="expression" dxfId="79" priority="82">
      <formula>AND($E226&lt;&gt;"",$F226&lt;=0)</formula>
    </cfRule>
  </conditionalFormatting>
  <conditionalFormatting sqref="B224">
    <cfRule type="expression" dxfId="78" priority="77">
      <formula>AND($E224&lt;&gt;"",$F224&gt;4)</formula>
    </cfRule>
    <cfRule type="expression" dxfId="77" priority="78">
      <formula>AND($E224&lt;&gt;"",$F224&lt;=4,$F224&gt;0)</formula>
    </cfRule>
    <cfRule type="expression" dxfId="76" priority="79">
      <formula>AND($E224&lt;&gt;"",$F224&lt;=0)</formula>
    </cfRule>
  </conditionalFormatting>
  <conditionalFormatting sqref="B224">
    <cfRule type="expression" dxfId="75" priority="74">
      <formula>AND($E224&lt;&gt;"",$F224&gt;4)</formula>
    </cfRule>
    <cfRule type="expression" dxfId="74" priority="75">
      <formula>AND($E224&lt;&gt;"",$F224&lt;=4,$F224&gt;0)</formula>
    </cfRule>
    <cfRule type="expression" dxfId="73" priority="76">
      <formula>AND($E224&lt;&gt;"",$F224&lt;=0)</formula>
    </cfRule>
  </conditionalFormatting>
  <conditionalFormatting sqref="B224">
    <cfRule type="expression" dxfId="72" priority="71">
      <formula>AND($E224&lt;&gt;"",$F224&gt;4)</formula>
    </cfRule>
    <cfRule type="expression" dxfId="71" priority="72">
      <formula>AND($E224&lt;&gt;"",$F224&lt;=4,$F224&gt;0)</formula>
    </cfRule>
    <cfRule type="expression" dxfId="70" priority="73">
      <formula>AND($E224&lt;&gt;"",$F224&lt;=0)</formula>
    </cfRule>
  </conditionalFormatting>
  <conditionalFormatting sqref="B224">
    <cfRule type="expression" dxfId="69" priority="68">
      <formula>AND($E224&lt;&gt;"",$F224&gt;4)</formula>
    </cfRule>
    <cfRule type="expression" dxfId="68" priority="69">
      <formula>AND($E224&lt;&gt;"",$F224&lt;=4,$F224&gt;0)</formula>
    </cfRule>
    <cfRule type="expression" dxfId="67" priority="70">
      <formula>AND($E224&lt;&gt;"",$F224&lt;=0)</formula>
    </cfRule>
  </conditionalFormatting>
  <conditionalFormatting sqref="B227">
    <cfRule type="expression" dxfId="66" priority="65">
      <formula>AND($E227&lt;&gt;"",$F227&gt;4)</formula>
    </cfRule>
    <cfRule type="expression" dxfId="65" priority="66">
      <formula>AND($E227&lt;&gt;"",$F227&lt;=4,$F227&gt;0)</formula>
    </cfRule>
    <cfRule type="expression" dxfId="64" priority="67">
      <formula>AND($E227&lt;&gt;"",$F227&lt;=0)</formula>
    </cfRule>
  </conditionalFormatting>
  <conditionalFormatting sqref="B227">
    <cfRule type="expression" dxfId="63" priority="62">
      <formula>AND($E227&lt;&gt;"",$F227&gt;4)</formula>
    </cfRule>
    <cfRule type="expression" dxfId="62" priority="63">
      <formula>AND($E227&lt;&gt;"",$F227&lt;=4,$F227&gt;0)</formula>
    </cfRule>
    <cfRule type="expression" dxfId="61" priority="64">
      <formula>AND($E227&lt;&gt;"",$F227&lt;=0)</formula>
    </cfRule>
  </conditionalFormatting>
  <conditionalFormatting sqref="B228">
    <cfRule type="expression" dxfId="60" priority="59">
      <formula>AND($E228&lt;&gt;"",$F228&gt;4)</formula>
    </cfRule>
    <cfRule type="expression" dxfId="59" priority="60">
      <formula>AND($E228&lt;&gt;"",$F228&lt;=4,$F228&gt;0)</formula>
    </cfRule>
    <cfRule type="expression" dxfId="58" priority="61">
      <formula>AND($E228&lt;&gt;"",$F228&lt;=0)</formula>
    </cfRule>
  </conditionalFormatting>
  <conditionalFormatting sqref="B228">
    <cfRule type="expression" dxfId="57" priority="56">
      <formula>AND($E228&lt;&gt;"",$F228&gt;4)</formula>
    </cfRule>
    <cfRule type="expression" dxfId="56" priority="57">
      <formula>AND($E228&lt;&gt;"",$F228&lt;=4,$F228&gt;0)</formula>
    </cfRule>
    <cfRule type="expression" dxfId="55" priority="58">
      <formula>AND($E228&lt;&gt;"",$F228&lt;=0)</formula>
    </cfRule>
  </conditionalFormatting>
  <conditionalFormatting sqref="B230">
    <cfRule type="expression" dxfId="54" priority="53">
      <formula>AND($E230&lt;&gt;"",$F230&gt;4)</formula>
    </cfRule>
    <cfRule type="expression" dxfId="53" priority="54">
      <formula>AND($E230&lt;&gt;"",$F230&lt;=4,$F230&gt;0)</formula>
    </cfRule>
    <cfRule type="expression" dxfId="52" priority="55">
      <formula>AND($E230&lt;&gt;"",$F230&lt;=0)</formula>
    </cfRule>
  </conditionalFormatting>
  <conditionalFormatting sqref="B230">
    <cfRule type="expression" dxfId="51" priority="50">
      <formula>AND($E230&lt;&gt;"",$F230&gt;4)</formula>
    </cfRule>
    <cfRule type="expression" dxfId="50" priority="51">
      <formula>AND($E230&lt;&gt;"",$F230&lt;=4,$F230&gt;0)</formula>
    </cfRule>
    <cfRule type="expression" dxfId="49" priority="52">
      <formula>AND($E230&lt;&gt;"",$F230&lt;=0)</formula>
    </cfRule>
  </conditionalFormatting>
  <conditionalFormatting sqref="B231">
    <cfRule type="expression" dxfId="48" priority="47">
      <formula>AND($E231&lt;&gt;"",$F231&gt;4)</formula>
    </cfRule>
    <cfRule type="expression" dxfId="47" priority="48">
      <formula>AND($E231&lt;&gt;"",$F231&lt;=4,$F231&gt;0)</formula>
    </cfRule>
    <cfRule type="expression" dxfId="46" priority="49">
      <formula>AND($E231&lt;&gt;"",$F231&lt;=0)</formula>
    </cfRule>
  </conditionalFormatting>
  <conditionalFormatting sqref="B231">
    <cfRule type="expression" dxfId="45" priority="44">
      <formula>AND($E231&lt;&gt;"",$F231&gt;4)</formula>
    </cfRule>
    <cfRule type="expression" dxfId="44" priority="45">
      <formula>AND($E231&lt;&gt;"",$F231&lt;=4,$F231&gt;0)</formula>
    </cfRule>
    <cfRule type="expression" dxfId="43" priority="46">
      <formula>AND($E231&lt;&gt;"",$F231&lt;=0)</formula>
    </cfRule>
  </conditionalFormatting>
  <conditionalFormatting sqref="B229">
    <cfRule type="expression" dxfId="42" priority="41">
      <formula>AND($E229&lt;&gt;"",$F229&gt;4)</formula>
    </cfRule>
    <cfRule type="expression" dxfId="41" priority="42">
      <formula>AND($E229&lt;&gt;"",$F229&lt;=4,$F229&gt;0)</formula>
    </cfRule>
    <cfRule type="expression" dxfId="40" priority="43">
      <formula>AND($E229&lt;&gt;"",$F229&lt;=0)</formula>
    </cfRule>
  </conditionalFormatting>
  <conditionalFormatting sqref="B229">
    <cfRule type="expression" dxfId="39" priority="38">
      <formula>AND($E229&lt;&gt;"",$F229&gt;4)</formula>
    </cfRule>
    <cfRule type="expression" dxfId="38" priority="39">
      <formula>AND($E229&lt;&gt;"",$F229&lt;=4,$F229&gt;0)</formula>
    </cfRule>
    <cfRule type="expression" dxfId="37" priority="40">
      <formula>AND($E229&lt;&gt;"",$F229&lt;=0)</formula>
    </cfRule>
  </conditionalFormatting>
  <conditionalFormatting sqref="B232">
    <cfRule type="expression" dxfId="36" priority="35">
      <formula>AND($E232&lt;&gt;"",$F232&gt;4)</formula>
    </cfRule>
    <cfRule type="expression" dxfId="35" priority="36">
      <formula>AND($E232&lt;&gt;"",$F232&lt;=4,$F232&gt;0)</formula>
    </cfRule>
    <cfRule type="expression" dxfId="34" priority="37">
      <formula>AND($E232&lt;&gt;"",$F232&lt;=0)</formula>
    </cfRule>
  </conditionalFormatting>
  <conditionalFormatting sqref="B232">
    <cfRule type="expression" dxfId="33" priority="32">
      <formula>AND($E232&lt;&gt;"",$F232&gt;4)</formula>
    </cfRule>
    <cfRule type="expression" dxfId="32" priority="33">
      <formula>AND($E232&lt;&gt;"",$F232&lt;=4,$F232&gt;0)</formula>
    </cfRule>
    <cfRule type="expression" dxfId="31" priority="34">
      <formula>AND($E232&lt;&gt;"",$F232&lt;=0)</formula>
    </cfRule>
  </conditionalFormatting>
  <conditionalFormatting sqref="B233">
    <cfRule type="expression" dxfId="30" priority="29">
      <formula>AND($E233&lt;&gt;"",$F233&gt;4)</formula>
    </cfRule>
    <cfRule type="expression" dxfId="29" priority="30">
      <formula>AND($E233&lt;&gt;"",$F233&lt;=4,$F233&gt;0)</formula>
    </cfRule>
    <cfRule type="expression" dxfId="28" priority="31">
      <formula>AND($E233&lt;&gt;"",$F233&lt;=0)</formula>
    </cfRule>
  </conditionalFormatting>
  <conditionalFormatting sqref="B233">
    <cfRule type="expression" dxfId="27" priority="26">
      <formula>AND($E233&lt;&gt;"",$F233&gt;4)</formula>
    </cfRule>
    <cfRule type="expression" dxfId="26" priority="27">
      <formula>AND($E233&lt;&gt;"",$F233&lt;=4,$F233&gt;0)</formula>
    </cfRule>
    <cfRule type="expression" dxfId="25" priority="28">
      <formula>AND($E233&lt;&gt;"",$F233&lt;=0)</formula>
    </cfRule>
  </conditionalFormatting>
  <conditionalFormatting sqref="B235">
    <cfRule type="expression" dxfId="24" priority="17">
      <formula>AND($E235&lt;&gt;"",$F235&gt;4)</formula>
    </cfRule>
    <cfRule type="expression" dxfId="23" priority="18">
      <formula>AND($E235&lt;&gt;"",$F235&lt;=4,$F235&gt;0)</formula>
    </cfRule>
    <cfRule type="expression" dxfId="22" priority="19">
      <formula>AND($E235&lt;&gt;"",$F235&lt;=0)</formula>
    </cfRule>
  </conditionalFormatting>
  <conditionalFormatting sqref="A234 O234">
    <cfRule type="expression" dxfId="21" priority="916">
      <formula>AND($E236&lt;&gt;"",$F236&gt;4)</formula>
    </cfRule>
    <cfRule type="expression" dxfId="20" priority="917">
      <formula>AND($E236&lt;&gt;"",$F236&lt;=4,$F236&gt;0)</formula>
    </cfRule>
    <cfRule type="expression" dxfId="19" priority="918">
      <formula>AND($E236&lt;&gt;"",$F236&lt;=0)</formula>
    </cfRule>
  </conditionalFormatting>
  <conditionalFormatting sqref="B234:N234">
    <cfRule type="expression" dxfId="18" priority="10">
      <formula>AND($E234&lt;&gt;"",$F234&gt;4)</formula>
    </cfRule>
    <cfRule type="expression" dxfId="17" priority="11">
      <formula>AND($E234&lt;&gt;"",$F234&lt;=4,$F234&gt;0)</formula>
    </cfRule>
    <cfRule type="expression" dxfId="16" priority="12">
      <formula>AND($E234&lt;&gt;"",$F234&lt;=0)</formula>
    </cfRule>
  </conditionalFormatting>
  <conditionalFormatting sqref="J234">
    <cfRule type="expression" dxfId="15" priority="13">
      <formula>$J234="Pending"</formula>
    </cfRule>
  </conditionalFormatting>
  <conditionalFormatting sqref="B237">
    <cfRule type="expression" dxfId="14" priority="4">
      <formula>AND($E237&lt;&gt;"",$F237&gt;4)</formula>
    </cfRule>
    <cfRule type="expression" dxfId="13" priority="5">
      <formula>AND($E237&lt;&gt;"",$F237&lt;=4,$F237&gt;0)</formula>
    </cfRule>
    <cfRule type="expression" dxfId="12" priority="6">
      <formula>AND($E237&lt;&gt;"",$F237&lt;=0)</formula>
    </cfRule>
  </conditionalFormatting>
  <conditionalFormatting sqref="B237">
    <cfRule type="expression" dxfId="11" priority="7">
      <formula>AND($E237&lt;&gt;"",$F237&gt;4)</formula>
    </cfRule>
    <cfRule type="expression" dxfId="10" priority="8">
      <formula>AND($E237&lt;&gt;"",$F237&lt;=4,$F237&gt;0)</formula>
    </cfRule>
    <cfRule type="expression" dxfId="9" priority="9">
      <formula>AND($E237&lt;&gt;"",$F237&lt;=0)</formula>
    </cfRule>
  </conditionalFormatting>
  <conditionalFormatting sqref="K146">
    <cfRule type="expression" dxfId="8" priority="1">
      <formula>AND($E146&lt;&gt;"",$F146&gt;4)</formula>
    </cfRule>
    <cfRule type="expression" dxfId="7" priority="2">
      <formula>AND($E146&lt;&gt;"",$F146&lt;=4,$F146&gt;0)</formula>
    </cfRule>
    <cfRule type="expression" dxfId="6" priority="3">
      <formula>AND($E146&lt;&gt;"",$F146&lt;=0)</formula>
    </cfRule>
  </conditionalFormatting>
  <conditionalFormatting sqref="A290">
    <cfRule type="expression" dxfId="5" priority="922">
      <formula>AND($E291&lt;&gt;"",$F291&gt;4)</formula>
    </cfRule>
    <cfRule type="expression" dxfId="4" priority="923">
      <formula>AND($E291&lt;&gt;"",$F291&lt;=4,$F291&gt;0)</formula>
    </cfRule>
    <cfRule type="expression" dxfId="3" priority="924">
      <formula>AND($E291&lt;&gt;"",$F291&lt;=0)</formula>
    </cfRule>
  </conditionalFormatting>
  <dataValidations count="6">
    <dataValidation type="list" sqref="A62 N2:N1000" xr:uid="{00000000-0002-0000-0000-000004000000}">
      <formula1>"WeChat,Alipay,Cash,Crypto"</formula1>
    </dataValidation>
    <dataValidation type="list" sqref="C2:C49" xr:uid="{81DFA9E3-60DA-4C69-A963-0AA2ADE536BB}">
      <formula1>$R$2:$R$6</formula1>
    </dataValidation>
    <dataValidation type="list" sqref="D272 C50:C1000" xr:uid="{00000000-0002-0000-0000-000000000000}">
      <formula1>$T$2:$T$6</formula1>
    </dataValidation>
    <dataValidation type="list" sqref="J2:J1000" xr:uid="{00000000-0002-0000-0000-000001000000}">
      <formula1>"Paid,Pending"</formula1>
    </dataValidation>
    <dataValidation type="list" sqref="L2:L1000" xr:uid="{00000000-0002-0000-0000-000002000000}">
      <formula1>"Renewed,Not Renewed"</formula1>
    </dataValidation>
    <dataValidation type="list" sqref="M2:M1000" xr:uid="{00000000-0002-0000-0000-000003000000}">
      <formula1>"Private,Shared"</formula1>
    </dataValidation>
  </dataValidations>
  <hyperlinks>
    <hyperlink ref="A11" r:id="rId1" xr:uid="{6F89F3A4-414E-4F2D-8AB2-265BD67F1046}"/>
    <hyperlink ref="A16" r:id="rId2" xr:uid="{691C5171-8CB0-4115-99FD-1760A0F6CAF9}"/>
    <hyperlink ref="A63" r:id="rId3" xr:uid="{C3E2797E-2C6C-44A9-BD7A-7A6C4165DC7D}"/>
    <hyperlink ref="A67" r:id="rId4" xr:uid="{093E9B02-EF9E-4563-9863-167F18CA950B}"/>
    <hyperlink ref="A68" r:id="rId5" xr:uid="{EFFB02B5-2257-4BED-B3B5-E3E693868781}"/>
    <hyperlink ref="A66" r:id="rId6" xr:uid="{5C65B7BD-C4DA-44F9-B40A-9D65AEA606BB}"/>
    <hyperlink ref="A89" r:id="rId7" xr:uid="{A355A843-6FB9-43F1-8E85-EF1F5C9A20FA}"/>
    <hyperlink ref="A123" r:id="rId8" xr:uid="{4AD10773-AE48-451A-9F45-4B0582926EF6}"/>
    <hyperlink ref="A136" r:id="rId9" xr:uid="{15A98E81-FDBF-4441-B894-8EE3C1774904}"/>
    <hyperlink ref="A138" r:id="rId10" xr:uid="{0B0F4970-D8E6-46C3-ACFA-41C1F0C32E49}"/>
    <hyperlink ref="A139" r:id="rId11" xr:uid="{35D96AFB-CA49-4556-B3A9-703FBB654400}"/>
    <hyperlink ref="A140" r:id="rId12" xr:uid="{6C88CF1D-95B3-464D-A330-717BD4E541E1}"/>
    <hyperlink ref="A157" r:id="rId13" xr:uid="{2B9DDCC0-C20A-4571-B552-124DE8FE9B01}"/>
    <hyperlink ref="A75" r:id="rId14" xr:uid="{8A00E3F6-002B-46D6-9EE4-95C7D17EAF71}"/>
    <hyperlink ref="A122" r:id="rId15" xr:uid="{D4CF98CF-85AA-46EA-9B69-0F3B369E9E05}"/>
    <hyperlink ref="A188" r:id="rId16" xr:uid="{6F5076F3-2AD6-43CE-BE10-FB0CE98A127B}"/>
    <hyperlink ref="A216" r:id="rId17" xr:uid="{3E0DC45D-F758-4E87-85F3-92F99BE5C180}"/>
    <hyperlink ref="A217" r:id="rId18" xr:uid="{5116D2EA-B6D0-4345-A81C-29152EA95324}"/>
    <hyperlink ref="A232" r:id="rId19" xr:uid="{E99F181B-57C6-461F-BAA2-0DCF0D1DF70D}"/>
    <hyperlink ref="A251" r:id="rId20" xr:uid="{7EB5C430-2490-4B4A-BCE9-11EB5D4A06A6}"/>
    <hyperlink ref="A252" r:id="rId21" xr:uid="{D50E6ACA-A3B9-4E11-B2E1-65A2DF09434F}"/>
    <hyperlink ref="A253" r:id="rId22" xr:uid="{C561F041-FB6D-43EE-9257-B8BE192A5810}"/>
    <hyperlink ref="A257" r:id="rId23" xr:uid="{5BAB3746-6421-49F5-88B8-EB51294F77A2}"/>
    <hyperlink ref="A47" r:id="rId24" xr:uid="{92DBF850-52F0-4CBB-8209-BD56ADD47E80}"/>
    <hyperlink ref="A194" r:id="rId25" xr:uid="{23539E59-1A32-492F-925D-D3CD90E4A483}"/>
    <hyperlink ref="A244" r:id="rId26" xr:uid="{D84D47F2-364A-4075-8F24-CBD782B7E741}"/>
    <hyperlink ref="A248" r:id="rId27" xr:uid="{991EF635-7737-4263-93A9-380F913D7AB6}"/>
    <hyperlink ref="A250" r:id="rId28" xr:uid="{6957976A-6326-43A4-B192-52DAFDC68118}"/>
    <hyperlink ref="A256" r:id="rId29" xr:uid="{94D68F28-CEF4-4090-9295-4DC5835811B4}"/>
    <hyperlink ref="A258" r:id="rId30" xr:uid="{A7B25DCD-2CF9-4451-92E6-28C529F0F056}"/>
    <hyperlink ref="A265" r:id="rId31" xr:uid="{FA112265-5C5A-42A6-A539-BF3ED251A7EF}"/>
    <hyperlink ref="A3" r:id="rId32" xr:uid="{B1E4AC72-F455-4CE9-9D0E-76D690A96B95}"/>
    <hyperlink ref="A12" r:id="rId33" xr:uid="{B3C31999-1033-4862-B8FE-9E20A79DA194}"/>
    <hyperlink ref="A4" r:id="rId34" xr:uid="{4D2CC6D4-E15B-4E82-8561-AB15E963442F}"/>
    <hyperlink ref="A276" r:id="rId35" xr:uid="{AE34955E-3021-4DC8-8F7D-24471671147C}"/>
    <hyperlink ref="A21" r:id="rId36" xr:uid="{4A8655F6-56F8-4EE3-81DE-836EBB929FCA}"/>
    <hyperlink ref="A26" r:id="rId37" xr:uid="{349054B4-084F-44BD-B073-88E6E2B7D49B}"/>
    <hyperlink ref="A28" r:id="rId38" xr:uid="{33D4AB2E-78BF-4770-A9B2-0F9805F766A8}"/>
    <hyperlink ref="A31" r:id="rId39" xr:uid="{B320E1D0-348E-4196-8F92-D129F7741BB3}"/>
    <hyperlink ref="A18" r:id="rId40" xr:uid="{BB62018B-A6D0-4821-A37D-99A0FDDB2723}"/>
    <hyperlink ref="A45" r:id="rId41" xr:uid="{FE23BB06-0F88-4FD5-8872-DB44C659B561}"/>
    <hyperlink ref="A290" r:id="rId42" xr:uid="{4E33A0F8-D08E-4418-82E0-30374774E813}"/>
    <hyperlink ref="A54" r:id="rId43" xr:uid="{3D0541F4-6DDF-4D05-AFCD-FA76B6DAC98E}"/>
    <hyperlink ref="A269" r:id="rId44" xr:uid="{415867EE-C05C-4AE2-8524-7A68B673FE5C}"/>
    <hyperlink ref="A270" r:id="rId45" xr:uid="{55492800-0E1B-46AD-8122-5BE9F913B38B}"/>
    <hyperlink ref="A271" r:id="rId46" xr:uid="{0E2C2B2E-9867-4080-AA40-D394EC3ED44C}"/>
    <hyperlink ref="A278" r:id="rId47" xr:uid="{DE594057-A6EE-4CAC-85CB-024BDBC67D91}"/>
    <hyperlink ref="A282" r:id="rId48" xr:uid="{2E16CA49-089A-4637-9480-6880CD98A5A6}"/>
    <hyperlink ref="A284" r:id="rId49" xr:uid="{11C43833-8A2A-406A-93D9-2A33B69CEF65}"/>
    <hyperlink ref="A285" r:id="rId50" xr:uid="{242D9DD7-E155-468A-88A6-8485FB2CA8DA}"/>
    <hyperlink ref="A286" r:id="rId51" xr:uid="{2475BCD4-1852-4CF0-AE89-7F7D37542BD0}"/>
    <hyperlink ref="A295" r:id="rId52" xr:uid="{C6615A34-B903-437F-95E7-08B9FB01C454}"/>
    <hyperlink ref="A296" r:id="rId53" xr:uid="{4457776E-8333-4760-BB07-60D3BED33942}"/>
    <hyperlink ref="A297" r:id="rId54" xr:uid="{010F31FA-261C-45A8-80BC-EE36CBD08C01}"/>
  </hyperlinks>
  <pageMargins left="0.75" right="0.75" top="1" bottom="1" header="0.5" footer="0.5"/>
  <pageSetup paperSize="9" orientation="portrait"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21.28515625" customWidth="1"/>
  </cols>
  <sheetData>
    <row r="1" spans="1:2" x14ac:dyDescent="0.25">
      <c r="A1" s="1" t="s">
        <v>21</v>
      </c>
      <c r="B1">
        <f>SUM('Client Subscriptions'!H:H)</f>
        <v>14000</v>
      </c>
    </row>
    <row r="2" spans="1:2" x14ac:dyDescent="0.25">
      <c r="A2" s="1" t="s">
        <v>22</v>
      </c>
      <c r="B2">
        <f>SUM('Client Subscriptions'!I:I)</f>
        <v>11623</v>
      </c>
    </row>
    <row r="3" spans="1:2" x14ac:dyDescent="0.25">
      <c r="A3" s="1" t="s">
        <v>23</v>
      </c>
      <c r="B3">
        <f ca="1">COUNTIF('Client Subscriptions'!F:F,"&gt;0")</f>
        <v>283</v>
      </c>
    </row>
    <row r="4" spans="1:2" x14ac:dyDescent="0.25">
      <c r="A4" s="1" t="s">
        <v>24</v>
      </c>
      <c r="B4">
        <f ca="1">COUNTIFS('Client Subscriptions'!F:F,"&lt;=4",'Client Subscriptions'!F:F,"&gt;0")</f>
        <v>29</v>
      </c>
    </row>
    <row r="5" spans="1:2" x14ac:dyDescent="0.25">
      <c r="A5" s="1" t="s">
        <v>25</v>
      </c>
      <c r="B5">
        <f ca="1">COUNTIF('Client Subscriptions'!F:F,"&lt;=0")</f>
        <v>18</v>
      </c>
    </row>
    <row r="6" spans="1:2" x14ac:dyDescent="0.25">
      <c r="A6" s="1" t="s">
        <v>26</v>
      </c>
      <c r="B6">
        <f>COUNTIF('Client Subscriptions'!J:J,"Pending")</f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16.28515625" customWidth="1"/>
    <col min="2" max="2" width="13.7109375" customWidth="1"/>
    <col min="3" max="3" width="15.140625" customWidth="1"/>
  </cols>
  <sheetData>
    <row r="1" spans="1:3" x14ac:dyDescent="0.25">
      <c r="A1" s="1" t="s">
        <v>1</v>
      </c>
      <c r="B1" s="1" t="s">
        <v>27</v>
      </c>
      <c r="C1" s="1" t="s">
        <v>28</v>
      </c>
    </row>
    <row r="2" spans="1:3" x14ac:dyDescent="0.25">
      <c r="A2" t="s">
        <v>29</v>
      </c>
      <c r="B2">
        <f>COUNTIF('Client Subscriptions'!B:B,A2)</f>
        <v>6</v>
      </c>
      <c r="C2">
        <f>SUMIF('Client Subscriptions'!B:B,A2,'Client Subscriptions'!I:I)</f>
        <v>101</v>
      </c>
    </row>
    <row r="3" spans="1:3" x14ac:dyDescent="0.25">
      <c r="A3" t="s">
        <v>30</v>
      </c>
      <c r="B3">
        <f>COUNTIF('Client Subscriptions'!B:B,A3)</f>
        <v>16</v>
      </c>
      <c r="C3">
        <f>SUMIF('Client Subscriptions'!B:B,A3,'Client Subscriptions'!I:I)</f>
        <v>577</v>
      </c>
    </row>
    <row r="4" spans="1:3" x14ac:dyDescent="0.25">
      <c r="A4" t="s">
        <v>31</v>
      </c>
      <c r="B4">
        <f>COUNTIF('Client Subscriptions'!B:B,A4)</f>
        <v>251</v>
      </c>
      <c r="C4">
        <f>SUMIF('Client Subscriptions'!B:B,A4,'Client Subscriptions'!I:I)</f>
        <v>8965</v>
      </c>
    </row>
    <row r="5" spans="1:3" x14ac:dyDescent="0.25">
      <c r="A5" t="s">
        <v>32</v>
      </c>
      <c r="B5">
        <f>COUNTIF('Client Subscriptions'!B:B,A5)</f>
        <v>1</v>
      </c>
      <c r="C5">
        <f>SUMIF('Client Subscriptions'!B:B,A5,'Client Subscriptions'!I:I)</f>
        <v>130</v>
      </c>
    </row>
    <row r="6" spans="1:3" x14ac:dyDescent="0.25">
      <c r="A6" t="s">
        <v>33</v>
      </c>
      <c r="B6">
        <f>COUNTIF('Client Subscriptions'!B:B,A6)</f>
        <v>5</v>
      </c>
      <c r="C6">
        <f>SUMIF('Client Subscriptions'!B:B,A6,'Client Subscriptions'!I:I)</f>
        <v>160</v>
      </c>
    </row>
    <row r="7" spans="1:3" x14ac:dyDescent="0.25">
      <c r="A7" t="s">
        <v>34</v>
      </c>
      <c r="B7">
        <f>COUNTIF('Client Subscriptions'!B:B,A7)</f>
        <v>3</v>
      </c>
      <c r="C7">
        <f>SUMIF('Client Subscriptions'!B:B,A7,'Client Subscriptions'!I:I)</f>
        <v>165</v>
      </c>
    </row>
    <row r="8" spans="1:3" x14ac:dyDescent="0.25">
      <c r="A8" t="s">
        <v>35</v>
      </c>
      <c r="B8">
        <f>COUNTIF('Client Subscriptions'!B:B,A8)</f>
        <v>0</v>
      </c>
      <c r="C8">
        <f>SUMIF('Client Subscriptions'!B:B,A8,'Client Subscriptions'!I:I)</f>
        <v>0</v>
      </c>
    </row>
    <row r="9" spans="1:3" x14ac:dyDescent="0.25">
      <c r="A9" t="s">
        <v>87</v>
      </c>
      <c r="B9">
        <v>1</v>
      </c>
      <c r="C9">
        <v>40</v>
      </c>
    </row>
  </sheetData>
  <conditionalFormatting sqref="A9">
    <cfRule type="expression" dxfId="2" priority="1">
      <formula>AND($E9&lt;&gt;"",$F9&gt;4)</formula>
    </cfRule>
    <cfRule type="expression" dxfId="1" priority="2">
      <formula>AND($E9&lt;&gt;"",$F9&lt;=4,$F9&gt;0)</formula>
    </cfRule>
    <cfRule type="expression" dxfId="0" priority="3">
      <formula>AND($E9&lt;&gt;"",$F9&lt;=0)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C1" sqref="B1:C6"/>
    </sheetView>
  </sheetViews>
  <sheetFormatPr baseColWidth="10" defaultColWidth="9.140625" defaultRowHeight="15" x14ac:dyDescent="0.25"/>
  <cols>
    <col min="1" max="1" width="19.7109375" customWidth="1"/>
  </cols>
  <sheetData>
    <row r="1" spans="1:2" x14ac:dyDescent="0.25">
      <c r="A1" s="1" t="s">
        <v>36</v>
      </c>
      <c r="B1" s="1" t="s">
        <v>37</v>
      </c>
    </row>
    <row r="2" spans="1:2" x14ac:dyDescent="0.25">
      <c r="A2" t="s">
        <v>38</v>
      </c>
      <c r="B2">
        <f ca="1">SUMIFS('Client Subscriptions'!H:H,
'Client Subscriptions'!K:K,"&gt;="&amp;DATE(YEAR(TODAY()),1,1),
'Client Subscriptions'!K:K,"&lt;"&amp;EOMONTH(DATE(YEAR(TODAY()),1,1),0)+1)</f>
        <v>0</v>
      </c>
    </row>
    <row r="3" spans="1:2" x14ac:dyDescent="0.25">
      <c r="A3" t="s">
        <v>39</v>
      </c>
      <c r="B3">
        <f ca="1">SUMIFS('Client Subscriptions'!H:H,
'Client Subscriptions'!K:K,"&gt;="&amp;DATE(YEAR(TODAY()),2,1),
'Client Subscriptions'!K:K,"&lt;"&amp;EOMONTH(DATE(YEAR(TODAY()),2,1),0)+1)</f>
        <v>0</v>
      </c>
    </row>
    <row r="4" spans="1:2" x14ac:dyDescent="0.25">
      <c r="A4" t="s">
        <v>40</v>
      </c>
      <c r="B4">
        <f ca="1">SUMIFS('Client Subscriptions'!H:H,
'Client Subscriptions'!K:K,"&gt;="&amp;DATE(YEAR(TODAY()),3,1),
'Client Subscriptions'!K:K,"&lt;"&amp;EOMONTH(DATE(YEAR(TODAY()),3,1),0)+1)</f>
        <v>13940</v>
      </c>
    </row>
    <row r="5" spans="1:2" x14ac:dyDescent="0.25">
      <c r="A5" t="s">
        <v>41</v>
      </c>
      <c r="B5">
        <f ca="1">SUMIFS('Client Subscriptions'!H:H,
'Client Subscriptions'!K:K,"&gt;="&amp;DATE(YEAR(TODAY()),4,1),
'Client Subscriptions'!K:K,"&lt;"&amp;EOMONTH(DATE(YEAR(TODAY()),4,1),0)+1)</f>
        <v>0</v>
      </c>
    </row>
    <row r="6" spans="1:2" x14ac:dyDescent="0.25">
      <c r="A6" t="s">
        <v>42</v>
      </c>
      <c r="B6">
        <f ca="1">SUMIFS('Client Subscriptions'!H:H,
'Client Subscriptions'!K:K,"&gt;="&amp;DATE(YEAR(TODAY()),5,1),
'Client Subscriptions'!K:K,"&lt;"&amp;EOMONTH(DATE(YEAR(TODAY()),5,1),0)+1)</f>
        <v>0</v>
      </c>
    </row>
    <row r="7" spans="1:2" x14ac:dyDescent="0.25">
      <c r="A7" t="s">
        <v>43</v>
      </c>
      <c r="B7">
        <f ca="1">SUMIFS('Client Subscriptions'!H:H,
'Client Subscriptions'!K:K,"&gt;="&amp;DATE(YEAR(TODAY()),6,1),
'Client Subscriptions'!K:K,"&lt;"&amp;EOMONTH(DATE(YEAR(TODAY()),6,1),0)+1)</f>
        <v>0</v>
      </c>
    </row>
    <row r="8" spans="1:2" x14ac:dyDescent="0.25">
      <c r="A8" t="s">
        <v>44</v>
      </c>
      <c r="B8">
        <f ca="1">SUMIFS('Client Subscriptions'!H:H,
'Client Subscriptions'!K:K,"&gt;="&amp;DATE(YEAR(TODAY()),7,1),
'Client Subscriptions'!K:K,"&lt;"&amp;EOMONTH(DATE(YEAR(TODAY()),7,1),0)+1)</f>
        <v>0</v>
      </c>
    </row>
    <row r="9" spans="1:2" x14ac:dyDescent="0.25">
      <c r="A9" t="s">
        <v>45</v>
      </c>
      <c r="B9">
        <f ca="1">SUMIFS('Client Subscriptions'!H:H,
'Client Subscriptions'!K:K,"&gt;="&amp;DATE(YEAR(TODAY()),8,1),
'Client Subscriptions'!K:K,"&lt;"&amp;EOMONTH(DATE(YEAR(TODAY()),8,1),0)+1)</f>
        <v>0</v>
      </c>
    </row>
    <row r="10" spans="1:2" x14ac:dyDescent="0.25">
      <c r="A10" t="s">
        <v>46</v>
      </c>
      <c r="B10">
        <f ca="1">SUMIFS('Client Subscriptions'!H:H,
'Client Subscriptions'!K:K,"&gt;="&amp;DATE(YEAR(TODAY()),9,1),
'Client Subscriptions'!K:K,"&lt;"&amp;EOMONTH(DATE(YEAR(TODAY()),9,1),0)+1)</f>
        <v>0</v>
      </c>
    </row>
    <row r="11" spans="1:2" x14ac:dyDescent="0.25">
      <c r="A11" t="s">
        <v>47</v>
      </c>
      <c r="B11">
        <f ca="1">SUMIFS('Client Subscriptions'!H:H,
'Client Subscriptions'!K:K,"&gt;="&amp;DATE(YEAR(TODAY()),10,1),
'Client Subscriptions'!K:K,"&lt;"&amp;EOMONTH(DATE(YEAR(TODAY()),10,1),0)+1)</f>
        <v>0</v>
      </c>
    </row>
    <row r="12" spans="1:2" x14ac:dyDescent="0.25">
      <c r="A12" t="s">
        <v>48</v>
      </c>
      <c r="B12">
        <f ca="1">SUMIFS('Client Subscriptions'!H:H,
'Client Subscriptions'!K:K,"&gt;="&amp;DATE(YEAR(TODAY()),11,1),
'Client Subscriptions'!K:K,"&lt;"&amp;EOMONTH(DATE(YEAR(TODAY()),11,1),0)+1)</f>
        <v>0</v>
      </c>
    </row>
    <row r="13" spans="1:2" x14ac:dyDescent="0.25">
      <c r="A13" t="s">
        <v>49</v>
      </c>
      <c r="B13">
        <f ca="1">SUMIFS('Client Subscriptions'!H:H,
'Client Subscriptions'!K:K,"&gt;="&amp;DATE(YEAR(TODAY()),12,1),
'Client Subscriptions'!K:K,"&lt;"&amp;EOMONTH(DATE(YEAR(TODAY()),12,1),0)+1)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Client Subscriptions</vt:lpstr>
      <vt:lpstr>Dashboard</vt:lpstr>
      <vt:lpstr>Product Analytics</vt:lpstr>
      <vt:lpstr>Monthly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2026-02-23T16:35:03Z</dcterms:created>
  <dcterms:modified xsi:type="dcterms:W3CDTF">2026-03-26T05:37:57Z</dcterms:modified>
</cp:coreProperties>
</file>